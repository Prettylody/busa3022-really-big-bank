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nmoysaha/Downloads/"/>
    </mc:Choice>
  </mc:AlternateContent>
  <xr:revisionPtr revIDLastSave="0" documentId="13_ncr:9_{E422C825-8C3A-EF4D-AA8A-380AF2E0069D}" xr6:coauthVersionLast="47" xr6:coauthVersionMax="47" xr10:uidLastSave="{00000000-0000-0000-0000-000000000000}"/>
  <bookViews>
    <workbookView xWindow="880" yWindow="920" windowWidth="27640" windowHeight="16660" xr2:uid="{4F688E16-A037-3A4C-A4CB-D8EFEEA18BD4}"/>
  </bookViews>
  <sheets>
    <sheet name="ASX_clean" sheetId="4" r:id="rId1"/>
    <sheet name="ASX_Raw" sheetId="1" r:id="rId2"/>
    <sheet name="VIX_clean" sheetId="5" r:id="rId3"/>
    <sheet name="VIX_Raw" sheetId="3" r:id="rId4"/>
  </sheets>
  <definedNames>
    <definedName name="_xlnm._FilterDatabase" localSheetId="2" hidden="1">VIX_clean!$A$1:$B$152</definedName>
  </definedNames>
  <calcPr calcId="0"/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2" i="4"/>
  <c r="L3" i="4" a="1"/>
  <c r="M3" i="4" s="1"/>
  <c r="L4" i="4" a="1"/>
  <c r="M4" i="4" s="1"/>
  <c r="L5" i="4" a="1"/>
  <c r="M5" i="4" s="1"/>
  <c r="L6" i="4" a="1"/>
  <c r="M6" i="4" s="1"/>
  <c r="L7" i="4" a="1"/>
  <c r="M7" i="4" s="1"/>
  <c r="L8" i="4" a="1"/>
  <c r="M8" i="4" s="1"/>
  <c r="L9" i="4" a="1"/>
  <c r="M9" i="4" s="1"/>
  <c r="L10" i="4" a="1"/>
  <c r="M10" i="4" s="1"/>
  <c r="L11" i="4" a="1"/>
  <c r="M11" i="4" s="1"/>
  <c r="L12" i="4" a="1"/>
  <c r="M12" i="4" s="1"/>
  <c r="L13" i="4" a="1"/>
  <c r="M13" i="4" s="1"/>
  <c r="L14" i="4" a="1"/>
  <c r="M14" i="4" s="1"/>
  <c r="L15" i="4" a="1"/>
  <c r="M15" i="4" s="1"/>
  <c r="L16" i="4" a="1"/>
  <c r="M16" i="4" s="1"/>
  <c r="L17" i="4" a="1"/>
  <c r="M17" i="4" s="1"/>
  <c r="L18" i="4" a="1"/>
  <c r="M18" i="4" s="1"/>
  <c r="L19" i="4" a="1"/>
  <c r="M19" i="4" s="1"/>
  <c r="L20" i="4" a="1"/>
  <c r="M20" i="4" s="1"/>
  <c r="L21" i="4" a="1"/>
  <c r="M21" i="4" s="1"/>
  <c r="L22" i="4" a="1"/>
  <c r="M22" i="4" s="1"/>
  <c r="L23" i="4" a="1"/>
  <c r="M23" i="4" s="1"/>
  <c r="L24" i="4" a="1"/>
  <c r="M24" i="4" s="1"/>
  <c r="L25" i="4" a="1"/>
  <c r="M25" i="4" s="1"/>
  <c r="L26" i="4" a="1"/>
  <c r="M26" i="4" s="1"/>
  <c r="L27" i="4" a="1"/>
  <c r="M27" i="4" s="1"/>
  <c r="L28" i="4" a="1"/>
  <c r="M28" i="4" s="1"/>
  <c r="L29" i="4" a="1"/>
  <c r="M29" i="4" s="1"/>
  <c r="L30" i="4" a="1"/>
  <c r="M30" i="4" s="1"/>
  <c r="L31" i="4" a="1"/>
  <c r="M31" i="4" s="1"/>
  <c r="L32" i="4" a="1"/>
  <c r="M32" i="4" s="1"/>
  <c r="L33" i="4" a="1"/>
  <c r="M33" i="4" s="1"/>
  <c r="L34" i="4" a="1"/>
  <c r="M34" i="4" s="1"/>
  <c r="L35" i="4" a="1"/>
  <c r="M35" i="4" s="1"/>
  <c r="L36" i="4" a="1"/>
  <c r="M36" i="4" s="1"/>
  <c r="L37" i="4" a="1"/>
  <c r="M37" i="4" s="1"/>
  <c r="L38" i="4" a="1"/>
  <c r="M38" i="4" s="1"/>
  <c r="L39" i="4" a="1"/>
  <c r="M39" i="4" s="1"/>
  <c r="L40" i="4" a="1"/>
  <c r="M40" i="4" s="1"/>
  <c r="L41" i="4" a="1"/>
  <c r="M41" i="4" s="1"/>
  <c r="L42" i="4" a="1"/>
  <c r="M42" i="4" s="1"/>
  <c r="L43" i="4" a="1"/>
  <c r="M43" i="4" s="1"/>
  <c r="L44" i="4" a="1"/>
  <c r="M44" i="4" s="1"/>
  <c r="L45" i="4" a="1"/>
  <c r="M45" i="4" s="1"/>
  <c r="L46" i="4" a="1"/>
  <c r="M46" i="4" s="1"/>
  <c r="L47" i="4" a="1"/>
  <c r="M47" i="4" s="1"/>
  <c r="L48" i="4" a="1"/>
  <c r="M48" i="4" s="1"/>
  <c r="L49" i="4" a="1"/>
  <c r="M49" i="4" s="1"/>
  <c r="L50" i="4" a="1"/>
  <c r="M50" i="4" s="1"/>
  <c r="L51" i="4" a="1"/>
  <c r="M51" i="4" s="1"/>
  <c r="L52" i="4" a="1"/>
  <c r="M52" i="4" s="1"/>
  <c r="L53" i="4" a="1"/>
  <c r="M53" i="4" s="1"/>
  <c r="L54" i="4" a="1"/>
  <c r="M54" i="4" s="1"/>
  <c r="L55" i="4" a="1"/>
  <c r="M55" i="4" s="1"/>
  <c r="L56" i="4" a="1"/>
  <c r="M56" i="4" s="1"/>
  <c r="L57" i="4" a="1"/>
  <c r="M57" i="4" s="1"/>
  <c r="L58" i="4" a="1"/>
  <c r="M58" i="4" s="1"/>
  <c r="L59" i="4" a="1"/>
  <c r="M59" i="4" s="1"/>
  <c r="L60" i="4" a="1"/>
  <c r="M60" i="4" s="1"/>
  <c r="L61" i="4" a="1"/>
  <c r="M61" i="4" s="1"/>
  <c r="L62" i="4" a="1"/>
  <c r="M62" i="4" s="1"/>
  <c r="L63" i="4" a="1"/>
  <c r="M63" i="4" s="1"/>
  <c r="L64" i="4" a="1"/>
  <c r="M64" i="4" s="1"/>
  <c r="L65" i="4" a="1"/>
  <c r="M65" i="4" s="1"/>
  <c r="L66" i="4" a="1"/>
  <c r="M66" i="4" s="1"/>
  <c r="L67" i="4" a="1"/>
  <c r="M67" i="4" s="1"/>
  <c r="L68" i="4" a="1"/>
  <c r="M68" i="4" s="1"/>
  <c r="L69" i="4" a="1"/>
  <c r="M69" i="4" s="1"/>
  <c r="L70" i="4" a="1"/>
  <c r="M70" i="4" s="1"/>
  <c r="L71" i="4" a="1"/>
  <c r="M71" i="4" s="1"/>
  <c r="L72" i="4" a="1"/>
  <c r="M72" i="4" s="1"/>
  <c r="L73" i="4" a="1"/>
  <c r="M73" i="4" s="1"/>
  <c r="L74" i="4" a="1"/>
  <c r="M74" i="4" s="1"/>
  <c r="L75" i="4" a="1"/>
  <c r="M75" i="4" s="1"/>
  <c r="L76" i="4" a="1"/>
  <c r="M76" i="4" s="1"/>
  <c r="L77" i="4" a="1"/>
  <c r="M77" i="4" s="1"/>
  <c r="L78" i="4" a="1"/>
  <c r="M78" i="4" s="1"/>
  <c r="L79" i="4" a="1"/>
  <c r="M79" i="4" s="1"/>
  <c r="L80" i="4" a="1"/>
  <c r="M80" i="4" s="1"/>
  <c r="L81" i="4" a="1"/>
  <c r="M81" i="4" s="1"/>
  <c r="L82" i="4" a="1"/>
  <c r="M82" i="4" s="1"/>
  <c r="L83" i="4" a="1"/>
  <c r="M83" i="4" s="1"/>
  <c r="L84" i="4" a="1"/>
  <c r="M84" i="4" s="1"/>
  <c r="L85" i="4" a="1"/>
  <c r="M85" i="4" s="1"/>
  <c r="L86" i="4" a="1"/>
  <c r="M86" i="4" s="1"/>
  <c r="L87" i="4" a="1"/>
  <c r="M87" i="4" s="1"/>
  <c r="L88" i="4" a="1"/>
  <c r="M88" i="4" s="1"/>
  <c r="L89" i="4" a="1"/>
  <c r="M89" i="4" s="1"/>
  <c r="L90" i="4" a="1"/>
  <c r="M90" i="4" s="1"/>
  <c r="L91" i="4" a="1"/>
  <c r="M91" i="4" s="1"/>
  <c r="L92" i="4" a="1"/>
  <c r="M92" i="4" s="1"/>
  <c r="L93" i="4" a="1"/>
  <c r="M93" i="4" s="1"/>
  <c r="L94" i="4" a="1"/>
  <c r="M94" i="4" s="1"/>
  <c r="L95" i="4" a="1"/>
  <c r="M95" i="4" s="1"/>
  <c r="L96" i="4" a="1"/>
  <c r="M96" i="4" s="1"/>
  <c r="L97" i="4" a="1"/>
  <c r="M97" i="4" s="1"/>
  <c r="L98" i="4" a="1"/>
  <c r="M98" i="4" s="1"/>
  <c r="L99" i="4" a="1"/>
  <c r="M99" i="4" s="1"/>
  <c r="L100" i="4" a="1"/>
  <c r="M100" i="4" s="1"/>
  <c r="L101" i="4" a="1"/>
  <c r="M101" i="4" s="1"/>
  <c r="L102" i="4" a="1"/>
  <c r="M102" i="4" s="1"/>
  <c r="L103" i="4" a="1"/>
  <c r="M103" i="4" s="1"/>
  <c r="L104" i="4" a="1"/>
  <c r="M104" i="4" s="1"/>
  <c r="L105" i="4" a="1"/>
  <c r="M105" i="4" s="1"/>
  <c r="L106" i="4" a="1"/>
  <c r="M106" i="4" s="1"/>
  <c r="L107" i="4" a="1"/>
  <c r="M107" i="4" s="1"/>
  <c r="L108" i="4" a="1"/>
  <c r="M108" i="4" s="1"/>
  <c r="L109" i="4" a="1"/>
  <c r="M109" i="4" s="1"/>
  <c r="L110" i="4" a="1"/>
  <c r="M110" i="4" s="1"/>
  <c r="L111" i="4" a="1"/>
  <c r="M111" i="4" s="1"/>
  <c r="L112" i="4" a="1"/>
  <c r="M112" i="4" s="1"/>
  <c r="L113" i="4" a="1"/>
  <c r="M113" i="4" s="1"/>
  <c r="L114" i="4" a="1"/>
  <c r="M114" i="4" s="1"/>
  <c r="L115" i="4" a="1"/>
  <c r="M115" i="4" s="1"/>
  <c r="L116" i="4" a="1"/>
  <c r="M116" i="4" s="1"/>
  <c r="L117" i="4" a="1"/>
  <c r="M117" i="4" s="1"/>
  <c r="L118" i="4" a="1"/>
  <c r="M118" i="4" s="1"/>
  <c r="L119" i="4" a="1"/>
  <c r="M119" i="4" s="1"/>
  <c r="L120" i="4" a="1"/>
  <c r="M120" i="4" s="1"/>
  <c r="L121" i="4" a="1"/>
  <c r="M121" i="4" s="1"/>
  <c r="L122" i="4" a="1"/>
  <c r="M122" i="4" s="1"/>
  <c r="L123" i="4" a="1"/>
  <c r="M123" i="4" s="1"/>
  <c r="L124" i="4" a="1"/>
  <c r="M124" i="4" s="1"/>
  <c r="L125" i="4" a="1"/>
  <c r="M125" i="4" s="1"/>
  <c r="L126" i="4" a="1"/>
  <c r="M126" i="4" s="1"/>
  <c r="L127" i="4" a="1"/>
  <c r="M127" i="4" s="1"/>
  <c r="L128" i="4" a="1"/>
  <c r="M128" i="4" s="1"/>
  <c r="L129" i="4" a="1"/>
  <c r="M129" i="4" s="1"/>
  <c r="L130" i="4" a="1"/>
  <c r="M130" i="4" s="1"/>
  <c r="L131" i="4" a="1"/>
  <c r="M131" i="4" s="1"/>
  <c r="L132" i="4" a="1"/>
  <c r="M132" i="4" s="1"/>
  <c r="L133" i="4" a="1"/>
  <c r="M133" i="4" s="1"/>
  <c r="L134" i="4" a="1"/>
  <c r="M134" i="4" s="1"/>
  <c r="L135" i="4" a="1"/>
  <c r="M135" i="4" s="1"/>
  <c r="L136" i="4" a="1"/>
  <c r="M136" i="4" s="1"/>
  <c r="L137" i="4" a="1"/>
  <c r="M137" i="4" s="1"/>
  <c r="L138" i="4" a="1"/>
  <c r="M138" i="4" s="1"/>
  <c r="L139" i="4" a="1"/>
  <c r="M139" i="4" s="1"/>
  <c r="L140" i="4" a="1"/>
  <c r="M140" i="4" s="1"/>
  <c r="L141" i="4" a="1"/>
  <c r="M141" i="4" s="1"/>
  <c r="L142" i="4" a="1"/>
  <c r="M142" i="4" s="1"/>
  <c r="L143" i="4" a="1"/>
  <c r="M143" i="4" s="1"/>
  <c r="L144" i="4" a="1"/>
  <c r="M144" i="4" s="1"/>
  <c r="L145" i="4" a="1"/>
  <c r="M145" i="4" s="1"/>
  <c r="L146" i="4" a="1"/>
  <c r="M146" i="4" s="1"/>
  <c r="L147" i="4" a="1"/>
  <c r="M147" i="4" s="1"/>
  <c r="L148" i="4" a="1"/>
  <c r="M148" i="4" s="1"/>
  <c r="L149" i="4" a="1"/>
  <c r="M149" i="4" s="1"/>
  <c r="L2" i="4" a="1"/>
  <c r="M2" i="4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2" i="4"/>
  <c r="H4" i="4"/>
  <c r="I17" i="4" s="1"/>
  <c r="H5" i="4"/>
  <c r="I18" i="4" s="1"/>
  <c r="H6" i="4"/>
  <c r="I19" i="4" s="1"/>
  <c r="H7" i="4"/>
  <c r="I20" i="4" s="1"/>
  <c r="H8" i="4"/>
  <c r="I21" i="4" s="1"/>
  <c r="H9" i="4"/>
  <c r="I22" i="4" s="1"/>
  <c r="H10" i="4"/>
  <c r="I23" i="4" s="1"/>
  <c r="H11" i="4"/>
  <c r="I24" i="4" s="1"/>
  <c r="H12" i="4"/>
  <c r="I25" i="4" s="1"/>
  <c r="H13" i="4"/>
  <c r="I26" i="4" s="1"/>
  <c r="H14" i="4"/>
  <c r="I27" i="4" s="1"/>
  <c r="H15" i="4"/>
  <c r="I28" i="4" s="1"/>
  <c r="H16" i="4"/>
  <c r="I29" i="4" s="1"/>
  <c r="H17" i="4"/>
  <c r="I30" i="4" s="1"/>
  <c r="H18" i="4"/>
  <c r="I31" i="4" s="1"/>
  <c r="H19" i="4"/>
  <c r="I32" i="4" s="1"/>
  <c r="H20" i="4"/>
  <c r="I33" i="4" s="1"/>
  <c r="H21" i="4"/>
  <c r="I34" i="4" s="1"/>
  <c r="H22" i="4"/>
  <c r="I35" i="4" s="1"/>
  <c r="H23" i="4"/>
  <c r="I36" i="4" s="1"/>
  <c r="H24" i="4"/>
  <c r="I37" i="4" s="1"/>
  <c r="H25" i="4"/>
  <c r="I38" i="4" s="1"/>
  <c r="H26" i="4"/>
  <c r="I39" i="4" s="1"/>
  <c r="H27" i="4"/>
  <c r="I40" i="4" s="1"/>
  <c r="H28" i="4"/>
  <c r="I41" i="4" s="1"/>
  <c r="H29" i="4"/>
  <c r="I42" i="4" s="1"/>
  <c r="H30" i="4"/>
  <c r="I43" i="4" s="1"/>
  <c r="H31" i="4"/>
  <c r="I44" i="4" s="1"/>
  <c r="H32" i="4"/>
  <c r="I45" i="4" s="1"/>
  <c r="H33" i="4"/>
  <c r="I46" i="4" s="1"/>
  <c r="H34" i="4"/>
  <c r="I47" i="4" s="1"/>
  <c r="H35" i="4"/>
  <c r="I48" i="4" s="1"/>
  <c r="H36" i="4"/>
  <c r="I49" i="4" s="1"/>
  <c r="H37" i="4"/>
  <c r="I50" i="4" s="1"/>
  <c r="H38" i="4"/>
  <c r="I51" i="4" s="1"/>
  <c r="H39" i="4"/>
  <c r="I52" i="4" s="1"/>
  <c r="H40" i="4"/>
  <c r="I53" i="4" s="1"/>
  <c r="H41" i="4"/>
  <c r="I54" i="4" s="1"/>
  <c r="H42" i="4"/>
  <c r="I55" i="4" s="1"/>
  <c r="H43" i="4"/>
  <c r="I56" i="4" s="1"/>
  <c r="H44" i="4"/>
  <c r="I57" i="4" s="1"/>
  <c r="H45" i="4"/>
  <c r="I58" i="4" s="1"/>
  <c r="H46" i="4"/>
  <c r="I59" i="4" s="1"/>
  <c r="H47" i="4"/>
  <c r="I60" i="4" s="1"/>
  <c r="H48" i="4"/>
  <c r="I61" i="4" s="1"/>
  <c r="H49" i="4"/>
  <c r="I62" i="4" s="1"/>
  <c r="H50" i="4"/>
  <c r="I63" i="4" s="1"/>
  <c r="H51" i="4"/>
  <c r="I64" i="4" s="1"/>
  <c r="H52" i="4"/>
  <c r="I65" i="4" s="1"/>
  <c r="H53" i="4"/>
  <c r="I66" i="4" s="1"/>
  <c r="H54" i="4"/>
  <c r="I67" i="4" s="1"/>
  <c r="H55" i="4"/>
  <c r="I68" i="4" s="1"/>
  <c r="H56" i="4"/>
  <c r="I69" i="4" s="1"/>
  <c r="H57" i="4"/>
  <c r="I70" i="4" s="1"/>
  <c r="H58" i="4"/>
  <c r="I71" i="4" s="1"/>
  <c r="H59" i="4"/>
  <c r="I72" i="4" s="1"/>
  <c r="H60" i="4"/>
  <c r="I73" i="4" s="1"/>
  <c r="H61" i="4"/>
  <c r="I74" i="4" s="1"/>
  <c r="H62" i="4"/>
  <c r="I75" i="4" s="1"/>
  <c r="H63" i="4"/>
  <c r="I76" i="4" s="1"/>
  <c r="H64" i="4"/>
  <c r="I77" i="4" s="1"/>
  <c r="H65" i="4"/>
  <c r="I78" i="4" s="1"/>
  <c r="H66" i="4"/>
  <c r="I79" i="4" s="1"/>
  <c r="H67" i="4"/>
  <c r="I80" i="4" s="1"/>
  <c r="H68" i="4"/>
  <c r="I81" i="4" s="1"/>
  <c r="H69" i="4"/>
  <c r="I82" i="4" s="1"/>
  <c r="H70" i="4"/>
  <c r="I83" i="4" s="1"/>
  <c r="H71" i="4"/>
  <c r="I84" i="4" s="1"/>
  <c r="H72" i="4"/>
  <c r="I85" i="4" s="1"/>
  <c r="H73" i="4"/>
  <c r="I86" i="4" s="1"/>
  <c r="H74" i="4"/>
  <c r="I87" i="4" s="1"/>
  <c r="H75" i="4"/>
  <c r="I88" i="4" s="1"/>
  <c r="H76" i="4"/>
  <c r="I89" i="4" s="1"/>
  <c r="H77" i="4"/>
  <c r="I90" i="4" s="1"/>
  <c r="H78" i="4"/>
  <c r="I91" i="4" s="1"/>
  <c r="H79" i="4"/>
  <c r="I92" i="4" s="1"/>
  <c r="H80" i="4"/>
  <c r="I93" i="4" s="1"/>
  <c r="H81" i="4"/>
  <c r="I94" i="4" s="1"/>
  <c r="H82" i="4"/>
  <c r="I95" i="4" s="1"/>
  <c r="H83" i="4"/>
  <c r="I96" i="4" s="1"/>
  <c r="H84" i="4"/>
  <c r="I97" i="4" s="1"/>
  <c r="H85" i="4"/>
  <c r="I98" i="4" s="1"/>
  <c r="H86" i="4"/>
  <c r="I99" i="4" s="1"/>
  <c r="H87" i="4"/>
  <c r="I100" i="4" s="1"/>
  <c r="H88" i="4"/>
  <c r="I101" i="4" s="1"/>
  <c r="H89" i="4"/>
  <c r="I102" i="4" s="1"/>
  <c r="H90" i="4"/>
  <c r="I103" i="4" s="1"/>
  <c r="H91" i="4"/>
  <c r="I104" i="4" s="1"/>
  <c r="H92" i="4"/>
  <c r="I105" i="4" s="1"/>
  <c r="H93" i="4"/>
  <c r="I106" i="4" s="1"/>
  <c r="H94" i="4"/>
  <c r="I107" i="4" s="1"/>
  <c r="H95" i="4"/>
  <c r="I108" i="4" s="1"/>
  <c r="H96" i="4"/>
  <c r="I109" i="4" s="1"/>
  <c r="H97" i="4"/>
  <c r="I110" i="4" s="1"/>
  <c r="H98" i="4"/>
  <c r="I111" i="4" s="1"/>
  <c r="H99" i="4"/>
  <c r="I112" i="4" s="1"/>
  <c r="H100" i="4"/>
  <c r="I113" i="4" s="1"/>
  <c r="H101" i="4"/>
  <c r="I114" i="4" s="1"/>
  <c r="H102" i="4"/>
  <c r="I115" i="4" s="1"/>
  <c r="H103" i="4"/>
  <c r="I116" i="4" s="1"/>
  <c r="H104" i="4"/>
  <c r="I117" i="4" s="1"/>
  <c r="H105" i="4"/>
  <c r="I118" i="4" s="1"/>
  <c r="H106" i="4"/>
  <c r="I119" i="4" s="1"/>
  <c r="H107" i="4"/>
  <c r="I120" i="4" s="1"/>
  <c r="H108" i="4"/>
  <c r="I121" i="4" s="1"/>
  <c r="H109" i="4"/>
  <c r="I122" i="4" s="1"/>
  <c r="H110" i="4"/>
  <c r="I123" i="4" s="1"/>
  <c r="H111" i="4"/>
  <c r="I124" i="4" s="1"/>
  <c r="H112" i="4"/>
  <c r="I125" i="4" s="1"/>
  <c r="H113" i="4"/>
  <c r="I126" i="4" s="1"/>
  <c r="H114" i="4"/>
  <c r="I127" i="4" s="1"/>
  <c r="H115" i="4"/>
  <c r="I128" i="4" s="1"/>
  <c r="H116" i="4"/>
  <c r="I129" i="4" s="1"/>
  <c r="H117" i="4"/>
  <c r="I130" i="4" s="1"/>
  <c r="H118" i="4"/>
  <c r="I131" i="4" s="1"/>
  <c r="H119" i="4"/>
  <c r="I132" i="4" s="1"/>
  <c r="H120" i="4"/>
  <c r="I133" i="4" s="1"/>
  <c r="H121" i="4"/>
  <c r="I134" i="4" s="1"/>
  <c r="H122" i="4"/>
  <c r="I135" i="4" s="1"/>
  <c r="H123" i="4"/>
  <c r="I136" i="4" s="1"/>
  <c r="H124" i="4"/>
  <c r="I137" i="4" s="1"/>
  <c r="H125" i="4"/>
  <c r="I138" i="4" s="1"/>
  <c r="H126" i="4"/>
  <c r="I139" i="4" s="1"/>
  <c r="H127" i="4"/>
  <c r="I140" i="4" s="1"/>
  <c r="H128" i="4"/>
  <c r="I141" i="4" s="1"/>
  <c r="H129" i="4"/>
  <c r="I142" i="4" s="1"/>
  <c r="H130" i="4"/>
  <c r="I143" i="4" s="1"/>
  <c r="H131" i="4"/>
  <c r="I144" i="4" s="1"/>
  <c r="H132" i="4"/>
  <c r="I145" i="4" s="1"/>
  <c r="H133" i="4"/>
  <c r="I146" i="4" s="1"/>
  <c r="H134" i="4"/>
  <c r="I147" i="4" s="1"/>
  <c r="H135" i="4"/>
  <c r="I148" i="4" s="1"/>
  <c r="H136" i="4"/>
  <c r="I149" i="4" s="1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3" i="4"/>
  <c r="F14" i="5"/>
  <c r="F12" i="5"/>
  <c r="F11" i="5"/>
  <c r="P7" i="4"/>
  <c r="P8" i="4"/>
  <c r="K34" i="4" l="1"/>
  <c r="K62" i="4"/>
  <c r="K91" i="4"/>
  <c r="K27" i="4"/>
  <c r="K148" i="4"/>
  <c r="K149" i="4"/>
  <c r="K22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122" i="4"/>
  <c r="K125" i="4"/>
  <c r="K128" i="4"/>
  <c r="K131" i="4"/>
  <c r="K134" i="4"/>
  <c r="K137" i="4"/>
  <c r="K140" i="4"/>
  <c r="K141" i="4"/>
  <c r="K144" i="4"/>
  <c r="K147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120" i="4"/>
  <c r="K124" i="4"/>
  <c r="K127" i="4"/>
  <c r="K129" i="4"/>
  <c r="K133" i="4"/>
  <c r="K135" i="4"/>
  <c r="K139" i="4"/>
  <c r="K142" i="4"/>
  <c r="K145" i="4"/>
  <c r="K25" i="4"/>
  <c r="K30" i="4"/>
  <c r="K33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1" i="4"/>
  <c r="K123" i="4"/>
  <c r="K126" i="4"/>
  <c r="K130" i="4"/>
  <c r="K132" i="4"/>
  <c r="K136" i="4"/>
  <c r="K138" i="4"/>
  <c r="K143" i="4"/>
  <c r="K146" i="4"/>
  <c r="K21" i="4"/>
  <c r="K24" i="4"/>
  <c r="K28" i="4"/>
  <c r="K31" i="4"/>
  <c r="K26" i="4"/>
  <c r="K23" i="4"/>
  <c r="K29" i="4"/>
  <c r="K32" i="4"/>
  <c r="I1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<sst xmlns="http://schemas.openxmlformats.org/spreadsheetml/2006/main" count="326" uniqueCount="164">
  <si>
    <t>Date</t>
  </si>
  <si>
    <t>Price</t>
  </si>
  <si>
    <t>Open</t>
  </si>
  <si>
    <t>High</t>
  </si>
  <si>
    <t>Low</t>
  </si>
  <si>
    <t>Vol.</t>
  </si>
  <si>
    <t>Change %</t>
  </si>
  <si>
    <t>823.71M</t>
  </si>
  <si>
    <t>780.71M</t>
  </si>
  <si>
    <t>766.85M</t>
  </si>
  <si>
    <t>970.67M</t>
  </si>
  <si>
    <t>814.84M</t>
  </si>
  <si>
    <t>919.16M</t>
  </si>
  <si>
    <t>798.27M</t>
  </si>
  <si>
    <t>826.93M</t>
  </si>
  <si>
    <t>1.01B</t>
  </si>
  <si>
    <t>726.00M</t>
  </si>
  <si>
    <t>756.92M</t>
  </si>
  <si>
    <t>736.09M</t>
  </si>
  <si>
    <t>606.92M</t>
  </si>
  <si>
    <t>427.85M</t>
  </si>
  <si>
    <t>637.27M</t>
  </si>
  <si>
    <t>784.28M</t>
  </si>
  <si>
    <t>961.43M</t>
  </si>
  <si>
    <t>627.39M</t>
  </si>
  <si>
    <t>708.07M</t>
  </si>
  <si>
    <t>589.90M</t>
  </si>
  <si>
    <t>726.09M</t>
  </si>
  <si>
    <t>699.09M</t>
  </si>
  <si>
    <t>598.24M</t>
  </si>
  <si>
    <t>551.77M</t>
  </si>
  <si>
    <t>2.03B</t>
  </si>
  <si>
    <t>994.31M</t>
  </si>
  <si>
    <t>947.48M</t>
  </si>
  <si>
    <t>773.54M</t>
  </si>
  <si>
    <t>690.84M</t>
  </si>
  <si>
    <t>704.40M</t>
  </si>
  <si>
    <t>836.90M</t>
  </si>
  <si>
    <t>679.42M</t>
  </si>
  <si>
    <t>602.51M</t>
  </si>
  <si>
    <t>560.29M</t>
  </si>
  <si>
    <t>831.64M</t>
  </si>
  <si>
    <t>785.35M</t>
  </si>
  <si>
    <t>886.43M</t>
  </si>
  <si>
    <t>801.14M</t>
  </si>
  <si>
    <t>1.57B</t>
  </si>
  <si>
    <t>698.76M</t>
  </si>
  <si>
    <t>927.68M</t>
  </si>
  <si>
    <t>856.98M</t>
  </si>
  <si>
    <t>846.17M</t>
  </si>
  <si>
    <t>845.48M</t>
  </si>
  <si>
    <t>865.64M</t>
  </si>
  <si>
    <t>974.14M</t>
  </si>
  <si>
    <t>868.51M</t>
  </si>
  <si>
    <t>815.11M</t>
  </si>
  <si>
    <t>739.72M</t>
  </si>
  <si>
    <t>670.42M</t>
  </si>
  <si>
    <t>736.61M</t>
  </si>
  <si>
    <t>624.42M</t>
  </si>
  <si>
    <t>686.22M</t>
  </si>
  <si>
    <t>618.22M</t>
  </si>
  <si>
    <t>645.14M</t>
  </si>
  <si>
    <t>730.50M</t>
  </si>
  <si>
    <t>708.04M</t>
  </si>
  <si>
    <t>705.37M</t>
  </si>
  <si>
    <t>510.17M</t>
  </si>
  <si>
    <t>802.10M</t>
  </si>
  <si>
    <t>693.82M</t>
  </si>
  <si>
    <t>781.94M</t>
  </si>
  <si>
    <t>657.96M</t>
  </si>
  <si>
    <t>552.36M</t>
  </si>
  <si>
    <t>684.81M</t>
  </si>
  <si>
    <t>705.13M</t>
  </si>
  <si>
    <t>648.79M</t>
  </si>
  <si>
    <t>669.47M</t>
  </si>
  <si>
    <t>573.04M</t>
  </si>
  <si>
    <t>674.96M</t>
  </si>
  <si>
    <t>611.17M</t>
  </si>
  <si>
    <t>586.77M</t>
  </si>
  <si>
    <t>576.72M</t>
  </si>
  <si>
    <t>588.65M</t>
  </si>
  <si>
    <t>572.93M</t>
  </si>
  <si>
    <t>689.02M</t>
  </si>
  <si>
    <t>929.40M</t>
  </si>
  <si>
    <t>702.63M</t>
  </si>
  <si>
    <t>553.01M</t>
  </si>
  <si>
    <t>605.97M</t>
  </si>
  <si>
    <t>840.51M</t>
  </si>
  <si>
    <t>806.04M</t>
  </si>
  <si>
    <t>905.70M</t>
  </si>
  <si>
    <t>718.58M</t>
  </si>
  <si>
    <t>813.27M</t>
  </si>
  <si>
    <t>909.58M</t>
  </si>
  <si>
    <t>911.04M</t>
  </si>
  <si>
    <t>788.94M</t>
  </si>
  <si>
    <t>672.15M</t>
  </si>
  <si>
    <t>1.94B</t>
  </si>
  <si>
    <t>803.85M</t>
  </si>
  <si>
    <t>694.55M</t>
  </si>
  <si>
    <t>724.49M</t>
  </si>
  <si>
    <t>938.49M</t>
  </si>
  <si>
    <t>696.14M</t>
  </si>
  <si>
    <t>859.25M</t>
  </si>
  <si>
    <t>814.39M</t>
  </si>
  <si>
    <t>880.92M</t>
  </si>
  <si>
    <t>616.37M</t>
  </si>
  <si>
    <t>675.40M</t>
  </si>
  <si>
    <t>720.42M</t>
  </si>
  <si>
    <t>803.98M</t>
  </si>
  <si>
    <t>634.38M</t>
  </si>
  <si>
    <t>1.88B</t>
  </si>
  <si>
    <t>691.87M</t>
  </si>
  <si>
    <t>628.60M</t>
  </si>
  <si>
    <t>625.34M</t>
  </si>
  <si>
    <t>554.58M</t>
  </si>
  <si>
    <t>686.64M</t>
  </si>
  <si>
    <t>668.64M</t>
  </si>
  <si>
    <t>738.82M</t>
  </si>
  <si>
    <t>746.19M</t>
  </si>
  <si>
    <t>664.56M</t>
  </si>
  <si>
    <t>626.85M</t>
  </si>
  <si>
    <t>608.80M</t>
  </si>
  <si>
    <t>639.22M</t>
  </si>
  <si>
    <t>724.28M</t>
  </si>
  <si>
    <t>599.72M</t>
  </si>
  <si>
    <t>665.25M</t>
  </si>
  <si>
    <t>991.79M</t>
  </si>
  <si>
    <t>748.57M</t>
  </si>
  <si>
    <t>551.21M</t>
  </si>
  <si>
    <t>467.49M</t>
  </si>
  <si>
    <t>567.52M</t>
  </si>
  <si>
    <t>844.83M</t>
  </si>
  <si>
    <t>661.63M</t>
  </si>
  <si>
    <t>624.19M</t>
  </si>
  <si>
    <t>449.19M</t>
  </si>
  <si>
    <t>612.95M</t>
  </si>
  <si>
    <t>700.40M</t>
  </si>
  <si>
    <t>946.57M</t>
  </si>
  <si>
    <t>793.78M</t>
  </si>
  <si>
    <t>629.62M</t>
  </si>
  <si>
    <t>777.06M</t>
  </si>
  <si>
    <t>728.11M</t>
  </si>
  <si>
    <t>691.51M</t>
  </si>
  <si>
    <t>641.84M</t>
  </si>
  <si>
    <t>660.29M</t>
  </si>
  <si>
    <t>609.22M</t>
  </si>
  <si>
    <t>725.46M</t>
  </si>
  <si>
    <t>1.08B</t>
  </si>
  <si>
    <t>660.82M</t>
  </si>
  <si>
    <t>884.49M</t>
  </si>
  <si>
    <t>861.38M</t>
  </si>
  <si>
    <t>observation_date</t>
  </si>
  <si>
    <t>VIXCLS</t>
  </si>
  <si>
    <t>Data type:</t>
  </si>
  <si>
    <t>Data type (date):</t>
  </si>
  <si>
    <t>Data type (VIXCLS):</t>
  </si>
  <si>
    <t>Missing  VIX values:</t>
  </si>
  <si>
    <t>Daily return</t>
  </si>
  <si>
    <t>14-day volatility</t>
  </si>
  <si>
    <t>Vol. numeric</t>
  </si>
  <si>
    <t>20-day avg. vol.</t>
  </si>
  <si>
    <t>VIX US date</t>
  </si>
  <si>
    <t>VIX</t>
  </si>
  <si>
    <t>VIX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</si>
</sst>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8" fillId="0" borderId="0" xfId="0" applyFont="1"/>
    <xf numFmtId="0" fontId="0" fillId="0" borderId="0" xfId="0"/>
    <xf numFmtId="10" fontId="18" fillId="0" borderId="0" xfId="0" applyNumberFormat="1" applyFont="1"/>
    <xf numFmtId="1" fontId="0" fillId="0" borderId="0" xfId="0" applyNumberFormat="1"/>
    <xf numFmtId="14" fontId="0" fillId="0" borderId="0" xfId="0" applyNumberFormat="1" applyFont="1"/>
    <xf numFmtId="2" fontId="0" fillId="0" borderId="0" xfId="0" applyNumberFormat="1"/>
    <xf numFmtId="2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25400</xdr:colOff>
      <xdr:row>9</xdr:row>
      <xdr:rowOff>25400</xdr:rowOff>
    </xdr:from>
    <xdr:to>
      <xdr:col>15</xdr:col>
      <xdr:colOff>812800</xdr:colOff>
      <xdr:row>10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3EEE44-3D0D-BE4F-82A1-1B7D0261675F}"/>
            </a:ext>
          </a:extLst>
        </xdr:cNvPr>
        <xdr:cNvSpPr txBox="1"/>
      </xdr:nvSpPr>
      <xdr:spPr>
        <a:xfrm>
          <a:off x="7454900" y="1943100"/>
          <a:ext cx="16129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#</a:t>
          </a:r>
          <a:r>
            <a:rPr lang="en-GB" sz="1100" baseline="0"/>
            <a:t> </a:t>
          </a:r>
          <a:r>
            <a:rPr lang="en-GB" sz="1100" baseline="0">
              <a:solidFill>
                <a:srgbClr val="FF0000"/>
              </a:solidFill>
            </a:rPr>
            <a:t>No duplicate ASX  dates found.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FCC0-51AD-964A-80B1-F835C501AB16}">
  <dimension ref="A1:P149"/>
  <sheetViews>
    <sheetView tabSelected="1" workbookViewId="0">
      <selection activeCell="A4" sqref="A4:XFD4"/>
    </sheetView>
  </sheetViews>
  <sheetFormatPr baseColWidth="10" defaultRowHeight="16" x14ac:dyDescent="0.2"/>
  <cols>
    <col min="10" max="10" width="11.1640625" style="7" bestFit="1" customWidth="1"/>
    <col min="11" max="12" width="11.1640625" style="7" customWidth="1"/>
    <col min="13" max="14" width="11.1640625" style="9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157</v>
      </c>
      <c r="I1" t="s">
        <v>158</v>
      </c>
      <c r="J1" s="7" t="s">
        <v>159</v>
      </c>
      <c r="K1" s="7" t="s">
        <v>160</v>
      </c>
      <c r="L1" s="7" t="s">
        <v>161</v>
      </c>
      <c r="M1" s="9" t="s">
        <v>162</v>
      </c>
      <c r="N1" s="9" t="s">
        <v>163</v>
      </c>
    </row>
    <row r="2" spans="1:16" x14ac:dyDescent="0.2">
      <c r="A2" s="1">
        <v>46113</v>
      </c>
      <c r="B2" s="2">
        <v>8671.7999999999993</v>
      </c>
      <c r="C2" s="2">
        <v>8481.7999999999993</v>
      </c>
      <c r="D2" s="2">
        <v>8671.7999999999993</v>
      </c>
      <c r="E2" s="2">
        <v>8481.7999999999993</v>
      </c>
      <c r="F2" t="s">
        <v>150</v>
      </c>
      <c r="G2" s="3">
        <v>2.24E-2</v>
      </c>
      <c r="J2" s="7">
        <f>VALUE(LEFT(F2,LEN(F2)-1))*IF(RIGHT(F2,1)="B",1000000000,1000000)</f>
        <v>861380000</v>
      </c>
      <c r="L2" s="8" t="str" cm="1">
        <f t="array" ref="L2">IFERROR(MAX(_xlfn._xlws.FILTER(VIX_clean!$A$2:$A$152,(VIX_clean!$A$2:$A$152&lt;A2)*ISNUMBER(VIX_clean!$B$2:$B$152))),"")</f>
        <v/>
      </c>
      <c r="M2" s="10" t="str">
        <f>IF(L2="","",_xlfn.XLOOKUP(L2,VIX_clean!$A$2:$A$152,VIX_clean!$B$2:$B$152,""))</f>
        <v/>
      </c>
      <c r="N2" s="10" t="str">
        <f>IF(L2="","Missing",IF(A2-L2&gt;5,"Stale","OK"))</f>
        <v>Missing</v>
      </c>
    </row>
    <row r="3" spans="1:16" ht="17" x14ac:dyDescent="0.25">
      <c r="A3" s="1">
        <v>46114</v>
      </c>
      <c r="B3" s="2">
        <v>8579.5</v>
      </c>
      <c r="C3" s="2">
        <v>8671.7999999999993</v>
      </c>
      <c r="D3" s="2">
        <v>8723.2999999999993</v>
      </c>
      <c r="E3" s="2">
        <v>8566.7999999999993</v>
      </c>
      <c r="F3" t="s">
        <v>149</v>
      </c>
      <c r="G3" s="3">
        <v>-1.06E-2</v>
      </c>
      <c r="H3" s="6">
        <f>(B3/B2)-1</f>
        <v>-1.0643695657187591E-2</v>
      </c>
      <c r="I3" s="6"/>
      <c r="J3" s="7">
        <f t="shared" ref="J3:J66" si="0">VALUE(LEFT(F3,LEN(F3)-1))*IF(RIGHT(F3,1)="B",1000000000,1000000)</f>
        <v>884490000</v>
      </c>
      <c r="L3" s="8" cm="1">
        <f t="array" ref="L3">IFERROR(MAX(_xlfn._xlws.FILTER(VIX_clean!$A$2:$A$152,(VIX_clean!$A$2:$A$152&lt;A3)*ISNUMBER(VIX_clean!$B$2:$B$152))),"")</f>
        <v>46113</v>
      </c>
      <c r="M3" s="10">
        <f>IF(L3="","",_xlfn.XLOOKUP(L3,VIX_clean!$A$2:$A$152,VIX_clean!$B$2:$B$152,""))</f>
        <v>24.54</v>
      </c>
      <c r="N3" s="10" t="str">
        <f t="shared" ref="N3:N66" si="1">IF(L3="","Missing",IF(A3-L3&gt;5,"Stale","OK"))</f>
        <v>OK</v>
      </c>
    </row>
    <row r="4" spans="1:16" ht="17" x14ac:dyDescent="0.25">
      <c r="A4" s="1">
        <v>46119</v>
      </c>
      <c r="B4" s="2">
        <v>8728.7999999999993</v>
      </c>
      <c r="C4" s="2">
        <v>8579.5</v>
      </c>
      <c r="D4" s="2">
        <v>8804</v>
      </c>
      <c r="E4" s="2">
        <v>8579.5</v>
      </c>
      <c r="F4" t="s">
        <v>148</v>
      </c>
      <c r="G4" s="3">
        <v>1.7399999999999999E-2</v>
      </c>
      <c r="H4" s="6">
        <f t="shared" ref="H4:H67" si="2">(B4/B3)-1</f>
        <v>1.740194650037874E-2</v>
      </c>
      <c r="I4" s="6"/>
      <c r="J4" s="7">
        <f t="shared" si="0"/>
        <v>660820000</v>
      </c>
      <c r="L4" s="8" cm="1">
        <f t="array" ref="L4">IFERROR(MAX(_xlfn._xlws.FILTER(VIX_clean!$A$2:$A$152,(VIX_clean!$A$2:$A$152&lt;A4)*ISNUMBER(VIX_clean!$B$2:$B$152))),"")</f>
        <v>46118</v>
      </c>
      <c r="M4" s="10">
        <f>IF(L4="","",_xlfn.XLOOKUP(L4,VIX_clean!$A$2:$A$152,VIX_clean!$B$2:$B$152,""))</f>
        <v>24.17</v>
      </c>
      <c r="N4" s="10" t="str">
        <f t="shared" si="1"/>
        <v>OK</v>
      </c>
    </row>
    <row r="5" spans="1:16" ht="17" x14ac:dyDescent="0.25">
      <c r="A5" s="1">
        <v>46120</v>
      </c>
      <c r="B5" s="2">
        <v>8951.7999999999993</v>
      </c>
      <c r="C5" s="2">
        <v>8728.7999999999993</v>
      </c>
      <c r="D5" s="2">
        <v>8986.1</v>
      </c>
      <c r="E5" s="2">
        <v>8728.7999999999993</v>
      </c>
      <c r="F5" t="s">
        <v>147</v>
      </c>
      <c r="G5" s="3">
        <v>2.5499999999999998E-2</v>
      </c>
      <c r="H5" s="6">
        <f t="shared" si="2"/>
        <v>2.5547612501145567E-2</v>
      </c>
      <c r="I5" s="6"/>
      <c r="J5" s="7">
        <f t="shared" si="0"/>
        <v>1080000000</v>
      </c>
      <c r="L5" s="8" cm="1">
        <f t="array" ref="L5">IFERROR(MAX(_xlfn._xlws.FILTER(VIX_clean!$A$2:$A$152,(VIX_clean!$A$2:$A$152&lt;A5)*ISNUMBER(VIX_clean!$B$2:$B$152))),"")</f>
        <v>46119</v>
      </c>
      <c r="M5" s="10">
        <f>IF(L5="","",_xlfn.XLOOKUP(L5,VIX_clean!$A$2:$A$152,VIX_clean!$B$2:$B$152,""))</f>
        <v>25.78</v>
      </c>
      <c r="N5" s="10" t="str">
        <f t="shared" si="1"/>
        <v>OK</v>
      </c>
    </row>
    <row r="6" spans="1:16" ht="17" x14ac:dyDescent="0.25">
      <c r="A6" s="1">
        <v>46121</v>
      </c>
      <c r="B6" s="2">
        <v>8973.2000000000007</v>
      </c>
      <c r="C6" s="2">
        <v>8951.7999999999993</v>
      </c>
      <c r="D6" s="2">
        <v>8973.2000000000007</v>
      </c>
      <c r="E6" s="2">
        <v>8904.9</v>
      </c>
      <c r="F6" t="s">
        <v>146</v>
      </c>
      <c r="G6" s="3">
        <v>2.3999999999999998E-3</v>
      </c>
      <c r="H6" s="6">
        <f t="shared" si="2"/>
        <v>2.3905806653412576E-3</v>
      </c>
      <c r="I6" s="6"/>
      <c r="J6" s="7">
        <f t="shared" si="0"/>
        <v>725460000</v>
      </c>
      <c r="L6" s="8" cm="1">
        <f t="array" ref="L6">IFERROR(MAX(_xlfn._xlws.FILTER(VIX_clean!$A$2:$A$152,(VIX_clean!$A$2:$A$152&lt;A6)*ISNUMBER(VIX_clean!$B$2:$B$152))),"")</f>
        <v>46120</v>
      </c>
      <c r="M6" s="10">
        <f>IF(L6="","",_xlfn.XLOOKUP(L6,VIX_clean!$A$2:$A$152,VIX_clean!$B$2:$B$152,""))</f>
        <v>21.04</v>
      </c>
      <c r="N6" s="10" t="str">
        <f t="shared" si="1"/>
        <v>OK</v>
      </c>
    </row>
    <row r="7" spans="1:16" ht="17" x14ac:dyDescent="0.25">
      <c r="A7" s="1">
        <v>46122</v>
      </c>
      <c r="B7" s="2">
        <v>8960.6</v>
      </c>
      <c r="C7" s="2">
        <v>8973.2000000000007</v>
      </c>
      <c r="D7" s="2">
        <v>8973.2000000000007</v>
      </c>
      <c r="E7" s="2">
        <v>8905.2000000000007</v>
      </c>
      <c r="F7" t="s">
        <v>145</v>
      </c>
      <c r="G7" s="3">
        <v>-1.4E-3</v>
      </c>
      <c r="H7" s="6">
        <f t="shared" si="2"/>
        <v>-1.404181339990207E-3</v>
      </c>
      <c r="I7" s="6"/>
      <c r="J7" s="7">
        <f t="shared" si="0"/>
        <v>609220000</v>
      </c>
      <c r="L7" s="8" cm="1">
        <f t="array" ref="L7">IFERROR(MAX(_xlfn._xlws.FILTER(VIX_clean!$A$2:$A$152,(VIX_clean!$A$2:$A$152&lt;A7)*ISNUMBER(VIX_clean!$B$2:$B$152))),"")</f>
        <v>46121</v>
      </c>
      <c r="M7" s="10">
        <f>IF(L7="","",_xlfn.XLOOKUP(L7,VIX_clean!$A$2:$A$152,VIX_clean!$B$2:$B$152,""))</f>
        <v>19.489999999999998</v>
      </c>
      <c r="N7" s="10" t="str">
        <f t="shared" si="1"/>
        <v>OK</v>
      </c>
      <c r="O7" t="s">
        <v>153</v>
      </c>
      <c r="P7" s="4" t="b">
        <f>ISNUMBER(A2)</f>
        <v>1</v>
      </c>
    </row>
    <row r="8" spans="1:16" ht="17" x14ac:dyDescent="0.25">
      <c r="A8" s="1">
        <v>46125</v>
      </c>
      <c r="B8" s="2">
        <v>8926</v>
      </c>
      <c r="C8" s="2">
        <v>8960.6</v>
      </c>
      <c r="D8" s="2">
        <v>8960.6</v>
      </c>
      <c r="E8" s="2">
        <v>8889.6</v>
      </c>
      <c r="F8" t="s">
        <v>144</v>
      </c>
      <c r="G8" s="3">
        <v>-3.8999999999999998E-3</v>
      </c>
      <c r="H8" s="6">
        <f t="shared" si="2"/>
        <v>-3.8613485704083184E-3</v>
      </c>
      <c r="I8" s="6"/>
      <c r="J8" s="7">
        <f t="shared" si="0"/>
        <v>660290000</v>
      </c>
      <c r="L8" s="8" cm="1">
        <f t="array" ref="L8">IFERROR(MAX(_xlfn._xlws.FILTER(VIX_clean!$A$2:$A$152,(VIX_clean!$A$2:$A$152&lt;A8)*ISNUMBER(VIX_clean!$B$2:$B$152))),"")</f>
        <v>46122</v>
      </c>
      <c r="M8" s="10">
        <f>IF(L8="","",_xlfn.XLOOKUP(L8,VIX_clean!$A$2:$A$152,VIX_clean!$B$2:$B$152,""))</f>
        <v>19.23</v>
      </c>
      <c r="N8" s="10" t="str">
        <f t="shared" si="1"/>
        <v>OK</v>
      </c>
      <c r="O8" t="s">
        <v>153</v>
      </c>
      <c r="P8" s="4" t="b">
        <f>ISNUMBER(B2)</f>
        <v>1</v>
      </c>
    </row>
    <row r="9" spans="1:16" ht="17" x14ac:dyDescent="0.25">
      <c r="A9" s="1">
        <v>46126</v>
      </c>
      <c r="B9" s="2">
        <v>8970.7999999999993</v>
      </c>
      <c r="C9" s="2">
        <v>8926</v>
      </c>
      <c r="D9" s="2">
        <v>9021.5</v>
      </c>
      <c r="E9" s="2">
        <v>8926</v>
      </c>
      <c r="F9" t="s">
        <v>143</v>
      </c>
      <c r="G9" s="3">
        <v>5.0000000000000001E-3</v>
      </c>
      <c r="H9" s="6">
        <f t="shared" si="2"/>
        <v>5.0190454850995714E-3</v>
      </c>
      <c r="I9" s="6"/>
      <c r="J9" s="7">
        <f t="shared" si="0"/>
        <v>641840000</v>
      </c>
      <c r="L9" s="8" cm="1">
        <f t="array" ref="L9">IFERROR(MAX(_xlfn._xlws.FILTER(VIX_clean!$A$2:$A$152,(VIX_clean!$A$2:$A$152&lt;A9)*ISNUMBER(VIX_clean!$B$2:$B$152))),"")</f>
        <v>46125</v>
      </c>
      <c r="M9" s="10">
        <f>IF(L9="","",_xlfn.XLOOKUP(L9,VIX_clean!$A$2:$A$152,VIX_clean!$B$2:$B$152,""))</f>
        <v>19.12</v>
      </c>
      <c r="N9" s="10" t="str">
        <f t="shared" si="1"/>
        <v>OK</v>
      </c>
    </row>
    <row r="10" spans="1:16" ht="17" x14ac:dyDescent="0.25">
      <c r="A10" s="1">
        <v>46127</v>
      </c>
      <c r="B10" s="2">
        <v>8978.7000000000007</v>
      </c>
      <c r="C10" s="2">
        <v>8970.7999999999993</v>
      </c>
      <c r="D10" s="2">
        <v>9015.4</v>
      </c>
      <c r="E10" s="2">
        <v>8970.7999999999993</v>
      </c>
      <c r="F10" t="s">
        <v>142</v>
      </c>
      <c r="G10" s="3">
        <v>8.9999999999999998E-4</v>
      </c>
      <c r="H10" s="6">
        <f t="shared" si="2"/>
        <v>8.8063494894563554E-4</v>
      </c>
      <c r="I10" s="6"/>
      <c r="J10" s="7">
        <f t="shared" si="0"/>
        <v>691510000</v>
      </c>
      <c r="L10" s="8" cm="1">
        <f t="array" ref="L10">IFERROR(MAX(_xlfn._xlws.FILTER(VIX_clean!$A$2:$A$152,(VIX_clean!$A$2:$A$152&lt;A10)*ISNUMBER(VIX_clean!$B$2:$B$152))),"")</f>
        <v>46126</v>
      </c>
      <c r="M10" s="10">
        <f>IF(L10="","",_xlfn.XLOOKUP(L10,VIX_clean!$A$2:$A$152,VIX_clean!$B$2:$B$152,""))</f>
        <v>18.36</v>
      </c>
      <c r="N10" s="10" t="str">
        <f t="shared" si="1"/>
        <v>OK</v>
      </c>
    </row>
    <row r="11" spans="1:16" ht="17" x14ac:dyDescent="0.25">
      <c r="A11" s="1">
        <v>46128</v>
      </c>
      <c r="B11" s="2">
        <v>8955</v>
      </c>
      <c r="C11" s="2">
        <v>8978.7000000000007</v>
      </c>
      <c r="D11" s="2">
        <v>9017.2000000000007</v>
      </c>
      <c r="E11" s="2">
        <v>8937.2999999999993</v>
      </c>
      <c r="F11" t="s">
        <v>141</v>
      </c>
      <c r="G11" s="3">
        <v>-2.5999999999999999E-3</v>
      </c>
      <c r="H11" s="6">
        <f t="shared" si="2"/>
        <v>-2.6395803401384477E-3</v>
      </c>
      <c r="I11" s="6"/>
      <c r="J11" s="7">
        <f t="shared" si="0"/>
        <v>728110000</v>
      </c>
      <c r="L11" s="8" cm="1">
        <f t="array" ref="L11">IFERROR(MAX(_xlfn._xlws.FILTER(VIX_clean!$A$2:$A$152,(VIX_clean!$A$2:$A$152&lt;A11)*ISNUMBER(VIX_clean!$B$2:$B$152))),"")</f>
        <v>46127</v>
      </c>
      <c r="M11" s="10">
        <f>IF(L11="","",_xlfn.XLOOKUP(L11,VIX_clean!$A$2:$A$152,VIX_clean!$B$2:$B$152,""))</f>
        <v>18.170000000000002</v>
      </c>
      <c r="N11" s="10" t="str">
        <f t="shared" si="1"/>
        <v>OK</v>
      </c>
    </row>
    <row r="12" spans="1:16" ht="17" x14ac:dyDescent="0.25">
      <c r="A12" s="1">
        <v>46129</v>
      </c>
      <c r="B12" s="2">
        <v>8946.9</v>
      </c>
      <c r="C12" s="2">
        <v>8955</v>
      </c>
      <c r="D12" s="2">
        <v>8955</v>
      </c>
      <c r="E12" s="2">
        <v>8902.4</v>
      </c>
      <c r="F12" t="s">
        <v>140</v>
      </c>
      <c r="G12" s="3">
        <v>-8.9999999999999998E-4</v>
      </c>
      <c r="H12" s="6">
        <f t="shared" si="2"/>
        <v>-9.0452261306539494E-4</v>
      </c>
      <c r="I12" s="6"/>
      <c r="J12" s="7">
        <f t="shared" si="0"/>
        <v>777060000</v>
      </c>
      <c r="L12" s="8" cm="1">
        <f t="array" ref="L12">IFERROR(MAX(_xlfn._xlws.FILTER(VIX_clean!$A$2:$A$152,(VIX_clean!$A$2:$A$152&lt;A12)*ISNUMBER(VIX_clean!$B$2:$B$152))),"")</f>
        <v>46128</v>
      </c>
      <c r="M12" s="10">
        <f>IF(L12="","",_xlfn.XLOOKUP(L12,VIX_clean!$A$2:$A$152,VIX_clean!$B$2:$B$152,""))</f>
        <v>17.940000000000001</v>
      </c>
      <c r="N12" s="10" t="str">
        <f t="shared" si="1"/>
        <v>OK</v>
      </c>
    </row>
    <row r="13" spans="1:16" ht="17" x14ac:dyDescent="0.25">
      <c r="A13" s="1">
        <v>46132</v>
      </c>
      <c r="B13" s="2">
        <v>8953.2999999999993</v>
      </c>
      <c r="C13" s="2">
        <v>8946.9</v>
      </c>
      <c r="D13" s="2">
        <v>8955</v>
      </c>
      <c r="E13" s="2">
        <v>8898.4</v>
      </c>
      <c r="F13" t="s">
        <v>139</v>
      </c>
      <c r="G13" s="3">
        <v>6.9999999999999999E-4</v>
      </c>
      <c r="H13" s="6">
        <f t="shared" si="2"/>
        <v>7.1533156735847925E-4</v>
      </c>
      <c r="I13" s="6"/>
      <c r="J13" s="7">
        <f t="shared" si="0"/>
        <v>629620000</v>
      </c>
      <c r="L13" s="8" cm="1">
        <f t="array" ref="L13">IFERROR(MAX(_xlfn._xlws.FILTER(VIX_clean!$A$2:$A$152,(VIX_clean!$A$2:$A$152&lt;A13)*ISNUMBER(VIX_clean!$B$2:$B$152))),"")</f>
        <v>46129</v>
      </c>
      <c r="M13" s="10">
        <f>IF(L13="","",_xlfn.XLOOKUP(L13,VIX_clean!$A$2:$A$152,VIX_clean!$B$2:$B$152,""))</f>
        <v>17.48</v>
      </c>
      <c r="N13" s="10" t="str">
        <f t="shared" si="1"/>
        <v>OK</v>
      </c>
    </row>
    <row r="14" spans="1:16" ht="17" x14ac:dyDescent="0.25">
      <c r="A14" s="1">
        <v>46133</v>
      </c>
      <c r="B14" s="2">
        <v>8949.4</v>
      </c>
      <c r="C14" s="2">
        <v>8953.2999999999993</v>
      </c>
      <c r="D14" s="2">
        <v>8976.1</v>
      </c>
      <c r="E14" s="2">
        <v>8911.5</v>
      </c>
      <c r="F14" t="s">
        <v>138</v>
      </c>
      <c r="G14" s="3">
        <v>-4.0000000000000002E-4</v>
      </c>
      <c r="H14" s="6">
        <f t="shared" si="2"/>
        <v>-4.3559358002076554E-4</v>
      </c>
      <c r="I14" s="6"/>
      <c r="J14" s="7">
        <f t="shared" si="0"/>
        <v>793780000</v>
      </c>
      <c r="L14" s="8" cm="1">
        <f t="array" ref="L14">IFERROR(MAX(_xlfn._xlws.FILTER(VIX_clean!$A$2:$A$152,(VIX_clean!$A$2:$A$152&lt;A14)*ISNUMBER(VIX_clean!$B$2:$B$152))),"")</f>
        <v>46132</v>
      </c>
      <c r="M14" s="10">
        <f>IF(L14="","",_xlfn.XLOOKUP(L14,VIX_clean!$A$2:$A$152,VIX_clean!$B$2:$B$152,""))</f>
        <v>18.87</v>
      </c>
      <c r="N14" s="10" t="str">
        <f t="shared" si="1"/>
        <v>OK</v>
      </c>
    </row>
    <row r="15" spans="1:16" ht="17" x14ac:dyDescent="0.25">
      <c r="A15" s="1">
        <v>46134</v>
      </c>
      <c r="B15" s="2">
        <v>8843.6</v>
      </c>
      <c r="C15" s="2">
        <v>8949.4</v>
      </c>
      <c r="D15" s="2">
        <v>8949.4</v>
      </c>
      <c r="E15" s="2">
        <v>8838.7000000000007</v>
      </c>
      <c r="F15" t="s">
        <v>137</v>
      </c>
      <c r="G15" s="3">
        <v>-1.18E-2</v>
      </c>
      <c r="H15" s="6">
        <f t="shared" si="2"/>
        <v>-1.1822021588039355E-2</v>
      </c>
      <c r="I15" s="6"/>
      <c r="J15" s="7">
        <f t="shared" si="0"/>
        <v>946570000</v>
      </c>
      <c r="L15" s="8" cm="1">
        <f t="array" ref="L15">IFERROR(MAX(_xlfn._xlws.FILTER(VIX_clean!$A$2:$A$152,(VIX_clean!$A$2:$A$152&lt;A15)*ISNUMBER(VIX_clean!$B$2:$B$152))),"")</f>
        <v>46133</v>
      </c>
      <c r="M15" s="10">
        <f>IF(L15="","",_xlfn.XLOOKUP(L15,VIX_clean!$A$2:$A$152,VIX_clean!$B$2:$B$152,""))</f>
        <v>19.5</v>
      </c>
      <c r="N15" s="10" t="str">
        <f t="shared" si="1"/>
        <v>OK</v>
      </c>
    </row>
    <row r="16" spans="1:16" ht="17" x14ac:dyDescent="0.25">
      <c r="A16" s="1">
        <v>46135</v>
      </c>
      <c r="B16" s="2">
        <v>8793.4</v>
      </c>
      <c r="C16" s="2">
        <v>8843.6</v>
      </c>
      <c r="D16" s="2">
        <v>8843.6</v>
      </c>
      <c r="E16" s="2">
        <v>8747.7999999999993</v>
      </c>
      <c r="F16" t="s">
        <v>136</v>
      </c>
      <c r="G16" s="3">
        <v>-5.7000000000000002E-3</v>
      </c>
      <c r="H16" s="6">
        <f t="shared" si="2"/>
        <v>-5.6764213668643038E-3</v>
      </c>
      <c r="I16" s="6">
        <f>_xlfn.STDEV.S(H3:H16)</f>
        <v>9.9331217233006291E-3</v>
      </c>
      <c r="J16" s="7">
        <f t="shared" si="0"/>
        <v>700400000</v>
      </c>
      <c r="L16" s="8" cm="1">
        <f t="array" ref="L16">IFERROR(MAX(_xlfn._xlws.FILTER(VIX_clean!$A$2:$A$152,(VIX_clean!$A$2:$A$152&lt;A16)*ISNUMBER(VIX_clean!$B$2:$B$152))),"")</f>
        <v>46134</v>
      </c>
      <c r="M16" s="10">
        <f>IF(L16="","",_xlfn.XLOOKUP(L16,VIX_clean!$A$2:$A$152,VIX_clean!$B$2:$B$152,""))</f>
        <v>18.920000000000002</v>
      </c>
      <c r="N16" s="10" t="str">
        <f t="shared" si="1"/>
        <v>OK</v>
      </c>
    </row>
    <row r="17" spans="1:14" ht="17" x14ac:dyDescent="0.25">
      <c r="A17" s="1">
        <v>46136</v>
      </c>
      <c r="B17" s="2">
        <v>8786.5</v>
      </c>
      <c r="C17" s="2">
        <v>8793.4</v>
      </c>
      <c r="D17" s="2">
        <v>8798.6</v>
      </c>
      <c r="E17" s="2">
        <v>8736.9</v>
      </c>
      <c r="F17" t="s">
        <v>135</v>
      </c>
      <c r="G17" s="3">
        <v>-8.0000000000000004E-4</v>
      </c>
      <c r="H17" s="6">
        <f t="shared" si="2"/>
        <v>-7.8467941865489887E-4</v>
      </c>
      <c r="I17" s="6">
        <f t="shared" ref="I17:I80" si="3">_xlfn.STDEV.S(H4:H17)</f>
        <v>9.3748299084488781E-3</v>
      </c>
      <c r="J17" s="7">
        <f t="shared" si="0"/>
        <v>612950000</v>
      </c>
      <c r="L17" s="8" cm="1">
        <f t="array" ref="L17">IFERROR(MAX(_xlfn._xlws.FILTER(VIX_clean!$A$2:$A$152,(VIX_clean!$A$2:$A$152&lt;A17)*ISNUMBER(VIX_clean!$B$2:$B$152))),"")</f>
        <v>46135</v>
      </c>
      <c r="M17" s="10">
        <f>IF(L17="","",_xlfn.XLOOKUP(L17,VIX_clean!$A$2:$A$152,VIX_clean!$B$2:$B$152,""))</f>
        <v>19.309999999999999</v>
      </c>
      <c r="N17" s="10" t="str">
        <f t="shared" si="1"/>
        <v>OK</v>
      </c>
    </row>
    <row r="18" spans="1:14" ht="17" x14ac:dyDescent="0.25">
      <c r="A18" s="1">
        <v>46139</v>
      </c>
      <c r="B18" s="2">
        <v>8766.4</v>
      </c>
      <c r="C18" s="2">
        <v>8786.5</v>
      </c>
      <c r="D18" s="2">
        <v>8786.5</v>
      </c>
      <c r="E18" s="2">
        <v>8729.6</v>
      </c>
      <c r="F18" t="s">
        <v>134</v>
      </c>
      <c r="G18" s="3">
        <v>-2.3E-3</v>
      </c>
      <c r="H18" s="6">
        <f t="shared" si="2"/>
        <v>-2.2876002959085762E-3</v>
      </c>
      <c r="I18" s="6">
        <f t="shared" si="3"/>
        <v>8.2553398117004278E-3</v>
      </c>
      <c r="J18" s="7">
        <f t="shared" si="0"/>
        <v>449190000</v>
      </c>
      <c r="L18" s="8" cm="1">
        <f t="array" ref="L18">IFERROR(MAX(_xlfn._xlws.FILTER(VIX_clean!$A$2:$A$152,(VIX_clean!$A$2:$A$152&lt;A18)*ISNUMBER(VIX_clean!$B$2:$B$152))),"")</f>
        <v>46136</v>
      </c>
      <c r="M18" s="10">
        <f>IF(L18="","",_xlfn.XLOOKUP(L18,VIX_clean!$A$2:$A$152,VIX_clean!$B$2:$B$152,""))</f>
        <v>18.71</v>
      </c>
      <c r="N18" s="10" t="str">
        <f t="shared" si="1"/>
        <v>OK</v>
      </c>
    </row>
    <row r="19" spans="1:14" ht="17" x14ac:dyDescent="0.25">
      <c r="A19" s="1">
        <v>46140</v>
      </c>
      <c r="B19" s="2">
        <v>8710.7000000000007</v>
      </c>
      <c r="C19" s="2">
        <v>8766.4</v>
      </c>
      <c r="D19" s="2">
        <v>8766.4</v>
      </c>
      <c r="E19" s="2">
        <v>8693.4</v>
      </c>
      <c r="F19" t="s">
        <v>133</v>
      </c>
      <c r="G19" s="3">
        <v>-6.4000000000000003E-3</v>
      </c>
      <c r="H19" s="6">
        <f t="shared" si="2"/>
        <v>-6.3538054389485898E-3</v>
      </c>
      <c r="I19" s="6">
        <f t="shared" si="3"/>
        <v>4.1374929332766552E-3</v>
      </c>
      <c r="J19" s="7">
        <f t="shared" si="0"/>
        <v>624190000</v>
      </c>
      <c r="L19" s="8" cm="1">
        <f t="array" ref="L19">IFERROR(MAX(_xlfn._xlws.FILTER(VIX_clean!$A$2:$A$152,(VIX_clean!$A$2:$A$152&lt;A19)*ISNUMBER(VIX_clean!$B$2:$B$152))),"")</f>
        <v>46139</v>
      </c>
      <c r="M19" s="10">
        <f>IF(L19="","",_xlfn.XLOOKUP(L19,VIX_clean!$A$2:$A$152,VIX_clean!$B$2:$B$152,""))</f>
        <v>18.02</v>
      </c>
      <c r="N19" s="10" t="str">
        <f t="shared" si="1"/>
        <v>OK</v>
      </c>
    </row>
    <row r="20" spans="1:14" ht="17" x14ac:dyDescent="0.25">
      <c r="A20" s="1">
        <v>46141</v>
      </c>
      <c r="B20" s="2">
        <v>8687</v>
      </c>
      <c r="C20" s="2">
        <v>8710.7000000000007</v>
      </c>
      <c r="D20" s="2">
        <v>8710.7000000000007</v>
      </c>
      <c r="E20" s="2">
        <v>8659.1</v>
      </c>
      <c r="F20" t="s">
        <v>132</v>
      </c>
      <c r="G20" s="3">
        <v>-2.7000000000000001E-3</v>
      </c>
      <c r="H20" s="6">
        <f t="shared" si="2"/>
        <v>-2.7207916700151547E-3</v>
      </c>
      <c r="I20" s="6">
        <f t="shared" si="3"/>
        <v>3.947068404323328E-3</v>
      </c>
      <c r="J20" s="7">
        <f t="shared" si="0"/>
        <v>661630000</v>
      </c>
      <c r="L20" s="8" cm="1">
        <f t="array" ref="L20">IFERROR(MAX(_xlfn._xlws.FILTER(VIX_clean!$A$2:$A$152,(VIX_clean!$A$2:$A$152&lt;A20)*ISNUMBER(VIX_clean!$B$2:$B$152))),"")</f>
        <v>46140</v>
      </c>
      <c r="M20" s="10">
        <f>IF(L20="","",_xlfn.XLOOKUP(L20,VIX_clean!$A$2:$A$152,VIX_clean!$B$2:$B$152,""))</f>
        <v>17.829999999999998</v>
      </c>
      <c r="N20" s="10" t="str">
        <f t="shared" si="1"/>
        <v>OK</v>
      </c>
    </row>
    <row r="21" spans="1:14" ht="17" x14ac:dyDescent="0.25">
      <c r="A21" s="1">
        <v>46142</v>
      </c>
      <c r="B21" s="2">
        <v>8665.7999999999993</v>
      </c>
      <c r="C21" s="2">
        <v>8687</v>
      </c>
      <c r="D21" s="2">
        <v>8687</v>
      </c>
      <c r="E21" s="2">
        <v>8632.2000000000007</v>
      </c>
      <c r="F21" t="s">
        <v>131</v>
      </c>
      <c r="G21" s="3">
        <v>-2.3999999999999998E-3</v>
      </c>
      <c r="H21" s="6">
        <f t="shared" si="2"/>
        <v>-2.4404282260850341E-3</v>
      </c>
      <c r="I21" s="6">
        <f t="shared" si="3"/>
        <v>3.9385753339164437E-3</v>
      </c>
      <c r="J21" s="7">
        <f t="shared" si="0"/>
        <v>844830000</v>
      </c>
      <c r="K21" s="7">
        <f>AVERAGE(J2:J21)</f>
        <v>729167000</v>
      </c>
      <c r="L21" s="8" cm="1">
        <f t="array" ref="L21">IFERROR(MAX(_xlfn._xlws.FILTER(VIX_clean!$A$2:$A$152,(VIX_clean!$A$2:$A$152&lt;A21)*ISNUMBER(VIX_clean!$B$2:$B$152))),"")</f>
        <v>46141</v>
      </c>
      <c r="M21" s="10">
        <f>IF(L21="","",_xlfn.XLOOKUP(L21,VIX_clean!$A$2:$A$152,VIX_clean!$B$2:$B$152,""))</f>
        <v>18.809999999999999</v>
      </c>
      <c r="N21" s="10" t="str">
        <f t="shared" si="1"/>
        <v>OK</v>
      </c>
    </row>
    <row r="22" spans="1:14" ht="17" x14ac:dyDescent="0.25">
      <c r="A22" s="1">
        <v>46143</v>
      </c>
      <c r="B22" s="2">
        <v>8729.7999999999993</v>
      </c>
      <c r="C22" s="2">
        <v>8665.7999999999993</v>
      </c>
      <c r="D22" s="2">
        <v>8764.1</v>
      </c>
      <c r="E22" s="2">
        <v>8665.7999999999993</v>
      </c>
      <c r="F22" t="s">
        <v>130</v>
      </c>
      <c r="G22" s="3">
        <v>7.4000000000000003E-3</v>
      </c>
      <c r="H22" s="6">
        <f t="shared" si="2"/>
        <v>7.385353920007276E-3</v>
      </c>
      <c r="I22" s="6">
        <f t="shared" si="3"/>
        <v>4.6886158556581547E-3</v>
      </c>
      <c r="J22" s="7">
        <f t="shared" si="0"/>
        <v>567520000</v>
      </c>
      <c r="K22" s="7">
        <f t="shared" ref="K22:K85" si="4">AVERAGE(J3:J22)</f>
        <v>714474000</v>
      </c>
      <c r="L22" s="8" cm="1">
        <f t="array" ref="L22">IFERROR(MAX(_xlfn._xlws.FILTER(VIX_clean!$A$2:$A$152,(VIX_clean!$A$2:$A$152&lt;A22)*ISNUMBER(VIX_clean!$B$2:$B$152))),"")</f>
        <v>46142</v>
      </c>
      <c r="M22" s="10">
        <f>IF(L22="","",_xlfn.XLOOKUP(L22,VIX_clean!$A$2:$A$152,VIX_clean!$B$2:$B$152,""))</f>
        <v>16.89</v>
      </c>
      <c r="N22" s="10" t="str">
        <f t="shared" si="1"/>
        <v>OK</v>
      </c>
    </row>
    <row r="23" spans="1:14" ht="17" x14ac:dyDescent="0.25">
      <c r="A23" s="1">
        <v>46146</v>
      </c>
      <c r="B23" s="2">
        <v>8697.1</v>
      </c>
      <c r="C23" s="2">
        <v>8729.7999999999993</v>
      </c>
      <c r="D23" s="2">
        <v>8738.1</v>
      </c>
      <c r="E23" s="2">
        <v>8675.4</v>
      </c>
      <c r="F23" t="s">
        <v>129</v>
      </c>
      <c r="G23" s="3">
        <v>-3.7000000000000002E-3</v>
      </c>
      <c r="H23" s="6">
        <f t="shared" si="2"/>
        <v>-3.7457902815641875E-3</v>
      </c>
      <c r="I23" s="6">
        <f t="shared" si="3"/>
        <v>4.3101422988675421E-3</v>
      </c>
      <c r="J23" s="7">
        <f t="shared" si="0"/>
        <v>467490000</v>
      </c>
      <c r="K23" s="7">
        <f t="shared" si="4"/>
        <v>693624000</v>
      </c>
      <c r="L23" s="8" cm="1">
        <f t="array" ref="L23">IFERROR(MAX(_xlfn._xlws.FILTER(VIX_clean!$A$2:$A$152,(VIX_clean!$A$2:$A$152&lt;A23)*ISNUMBER(VIX_clean!$B$2:$B$152))),"")</f>
        <v>46143</v>
      </c>
      <c r="M23" s="10">
        <f>IF(L23="","",_xlfn.XLOOKUP(L23,VIX_clean!$A$2:$A$152,VIX_clean!$B$2:$B$152,""))</f>
        <v>16.989999999999998</v>
      </c>
      <c r="N23" s="10" t="str">
        <f t="shared" si="1"/>
        <v>OK</v>
      </c>
    </row>
    <row r="24" spans="1:14" ht="17" x14ac:dyDescent="0.25">
      <c r="A24" s="1">
        <v>46147</v>
      </c>
      <c r="B24" s="2">
        <v>8680.5</v>
      </c>
      <c r="C24" s="2">
        <v>8697.1</v>
      </c>
      <c r="D24" s="2">
        <v>8697.1</v>
      </c>
      <c r="E24" s="2">
        <v>8621.6</v>
      </c>
      <c r="F24" t="s">
        <v>128</v>
      </c>
      <c r="G24" s="3">
        <v>-1.9E-3</v>
      </c>
      <c r="H24" s="6">
        <f t="shared" si="2"/>
        <v>-1.9086822044129814E-3</v>
      </c>
      <c r="I24" s="6">
        <f t="shared" si="3"/>
        <v>4.2202091228758709E-3</v>
      </c>
      <c r="J24" s="7">
        <f t="shared" si="0"/>
        <v>551210000</v>
      </c>
      <c r="K24" s="7">
        <f t="shared" si="4"/>
        <v>688143500</v>
      </c>
      <c r="L24" s="8" cm="1">
        <f t="array" ref="L24">IFERROR(MAX(_xlfn._xlws.FILTER(VIX_clean!$A$2:$A$152,(VIX_clean!$A$2:$A$152&lt;A24)*ISNUMBER(VIX_clean!$B$2:$B$152))),"")</f>
        <v>46146</v>
      </c>
      <c r="M24" s="10">
        <f>IF(L24="","",_xlfn.XLOOKUP(L24,VIX_clean!$A$2:$A$152,VIX_clean!$B$2:$B$152,""))</f>
        <v>18.29</v>
      </c>
      <c r="N24" s="10" t="str">
        <f t="shared" si="1"/>
        <v>OK</v>
      </c>
    </row>
    <row r="25" spans="1:14" ht="17" x14ac:dyDescent="0.25">
      <c r="A25" s="1">
        <v>46148</v>
      </c>
      <c r="B25" s="2">
        <v>8793.6</v>
      </c>
      <c r="C25" s="2">
        <v>8680.5</v>
      </c>
      <c r="D25" s="2">
        <v>8794.7000000000007</v>
      </c>
      <c r="E25" s="2">
        <v>8680.5</v>
      </c>
      <c r="F25" t="s">
        <v>127</v>
      </c>
      <c r="G25" s="3">
        <v>1.2999999999999999E-2</v>
      </c>
      <c r="H25" s="6">
        <f t="shared" si="2"/>
        <v>1.3029203386901722E-2</v>
      </c>
      <c r="I25" s="6">
        <f t="shared" si="3"/>
        <v>5.8968154850217308E-3</v>
      </c>
      <c r="J25" s="7">
        <f t="shared" si="0"/>
        <v>748570000</v>
      </c>
      <c r="K25" s="7">
        <f t="shared" si="4"/>
        <v>671572000</v>
      </c>
      <c r="L25" s="8" cm="1">
        <f t="array" ref="L25">IFERROR(MAX(_xlfn._xlws.FILTER(VIX_clean!$A$2:$A$152,(VIX_clean!$A$2:$A$152&lt;A25)*ISNUMBER(VIX_clean!$B$2:$B$152))),"")</f>
        <v>46147</v>
      </c>
      <c r="M25" s="10">
        <f>IF(L25="","",_xlfn.XLOOKUP(L25,VIX_clean!$A$2:$A$152,VIX_clean!$B$2:$B$152,""))</f>
        <v>17.38</v>
      </c>
      <c r="N25" s="10" t="str">
        <f t="shared" si="1"/>
        <v>OK</v>
      </c>
    </row>
    <row r="26" spans="1:14" ht="17" x14ac:dyDescent="0.25">
      <c r="A26" s="1">
        <v>46149</v>
      </c>
      <c r="B26" s="2">
        <v>8878.1</v>
      </c>
      <c r="C26" s="2">
        <v>8793.6</v>
      </c>
      <c r="D26" s="2">
        <v>8887.9</v>
      </c>
      <c r="E26" s="2">
        <v>8793.6</v>
      </c>
      <c r="F26" t="s">
        <v>126</v>
      </c>
      <c r="G26" s="3">
        <v>9.5999999999999992E-3</v>
      </c>
      <c r="H26" s="6">
        <f t="shared" si="2"/>
        <v>9.6092612809315359E-3</v>
      </c>
      <c r="I26" s="6">
        <f t="shared" si="3"/>
        <v>6.5786759099782507E-3</v>
      </c>
      <c r="J26" s="7">
        <f t="shared" si="0"/>
        <v>991790000</v>
      </c>
      <c r="K26" s="7">
        <f t="shared" si="4"/>
        <v>684888500</v>
      </c>
      <c r="L26" s="8" cm="1">
        <f t="array" ref="L26">IFERROR(MAX(_xlfn._xlws.FILTER(VIX_clean!$A$2:$A$152,(VIX_clean!$A$2:$A$152&lt;A26)*ISNUMBER(VIX_clean!$B$2:$B$152))),"")</f>
        <v>46148</v>
      </c>
      <c r="M26" s="10">
        <f>IF(L26="","",_xlfn.XLOOKUP(L26,VIX_clean!$A$2:$A$152,VIX_clean!$B$2:$B$152,""))</f>
        <v>17.39</v>
      </c>
      <c r="N26" s="10" t="str">
        <f t="shared" si="1"/>
        <v>OK</v>
      </c>
    </row>
    <row r="27" spans="1:14" ht="17" x14ac:dyDescent="0.25">
      <c r="A27" s="1">
        <v>46150</v>
      </c>
      <c r="B27" s="2">
        <v>8744.4</v>
      </c>
      <c r="C27" s="2">
        <v>8878.1</v>
      </c>
      <c r="D27" s="2">
        <v>8878.1</v>
      </c>
      <c r="E27" s="2">
        <v>8717.6</v>
      </c>
      <c r="F27" t="s">
        <v>125</v>
      </c>
      <c r="G27" s="3">
        <v>-1.5100000000000001E-2</v>
      </c>
      <c r="H27" s="6">
        <f t="shared" si="2"/>
        <v>-1.5059528502720299E-2</v>
      </c>
      <c r="I27" s="6">
        <f t="shared" si="3"/>
        <v>7.6176453205045059E-3</v>
      </c>
      <c r="J27" s="7">
        <f t="shared" si="0"/>
        <v>665250000</v>
      </c>
      <c r="K27" s="7">
        <f t="shared" si="4"/>
        <v>687690000</v>
      </c>
      <c r="L27" s="8" cm="1">
        <f t="array" ref="L27">IFERROR(MAX(_xlfn._xlws.FILTER(VIX_clean!$A$2:$A$152,(VIX_clean!$A$2:$A$152&lt;A27)*ISNUMBER(VIX_clean!$B$2:$B$152))),"")</f>
        <v>46149</v>
      </c>
      <c r="M27" s="10">
        <f>IF(L27="","",_xlfn.XLOOKUP(L27,VIX_clean!$A$2:$A$152,VIX_clean!$B$2:$B$152,""))</f>
        <v>17.079999999999998</v>
      </c>
      <c r="N27" s="10" t="str">
        <f t="shared" si="1"/>
        <v>OK</v>
      </c>
    </row>
    <row r="28" spans="1:14" ht="17" x14ac:dyDescent="0.25">
      <c r="A28" s="1">
        <v>46153</v>
      </c>
      <c r="B28" s="2">
        <v>8701.7999999999993</v>
      </c>
      <c r="C28" s="2">
        <v>8744.4</v>
      </c>
      <c r="D28" s="2">
        <v>8744.4</v>
      </c>
      <c r="E28" s="2">
        <v>8643.5</v>
      </c>
      <c r="F28" t="s">
        <v>124</v>
      </c>
      <c r="G28" s="3">
        <v>-4.8999999999999998E-3</v>
      </c>
      <c r="H28" s="6">
        <f t="shared" si="2"/>
        <v>-4.8716893097296987E-3</v>
      </c>
      <c r="I28" s="6">
        <f t="shared" si="3"/>
        <v>7.6550583940546849E-3</v>
      </c>
      <c r="J28" s="7">
        <f t="shared" si="0"/>
        <v>599720000</v>
      </c>
      <c r="K28" s="7">
        <f t="shared" si="4"/>
        <v>684661500</v>
      </c>
      <c r="L28" s="8" cm="1">
        <f t="array" ref="L28">IFERROR(MAX(_xlfn._xlws.FILTER(VIX_clean!$A$2:$A$152,(VIX_clean!$A$2:$A$152&lt;A28)*ISNUMBER(VIX_clean!$B$2:$B$152))),"")</f>
        <v>46150</v>
      </c>
      <c r="M28" s="10">
        <f>IF(L28="","",_xlfn.XLOOKUP(L28,VIX_clean!$A$2:$A$152,VIX_clean!$B$2:$B$152,""))</f>
        <v>17.190000000000001</v>
      </c>
      <c r="N28" s="10" t="str">
        <f t="shared" si="1"/>
        <v>OK</v>
      </c>
    </row>
    <row r="29" spans="1:14" ht="17" x14ac:dyDescent="0.25">
      <c r="A29" s="1">
        <v>46154</v>
      </c>
      <c r="B29" s="2">
        <v>8670.7000000000007</v>
      </c>
      <c r="C29" s="2">
        <v>8701.7999999999993</v>
      </c>
      <c r="D29" s="2">
        <v>8713.4</v>
      </c>
      <c r="E29" s="2">
        <v>8619.1</v>
      </c>
      <c r="F29" t="s">
        <v>123</v>
      </c>
      <c r="G29" s="3">
        <v>-3.5999999999999999E-3</v>
      </c>
      <c r="H29" s="6">
        <f t="shared" si="2"/>
        <v>-3.5739732009467673E-3</v>
      </c>
      <c r="I29" s="6">
        <f t="shared" si="3"/>
        <v>7.1388951762279516E-3</v>
      </c>
      <c r="J29" s="7">
        <f t="shared" si="0"/>
        <v>724280000</v>
      </c>
      <c r="K29" s="7">
        <f t="shared" si="4"/>
        <v>688783500</v>
      </c>
      <c r="L29" s="8" cm="1">
        <f t="array" ref="L29">IFERROR(MAX(_xlfn._xlws.FILTER(VIX_clean!$A$2:$A$152,(VIX_clean!$A$2:$A$152&lt;A29)*ISNUMBER(VIX_clean!$B$2:$B$152))),"")</f>
        <v>46153</v>
      </c>
      <c r="M29" s="10">
        <f>IF(L29="","",_xlfn.XLOOKUP(L29,VIX_clean!$A$2:$A$152,VIX_clean!$B$2:$B$152,""))</f>
        <v>18.38</v>
      </c>
      <c r="N29" s="10" t="str">
        <f t="shared" si="1"/>
        <v>OK</v>
      </c>
    </row>
    <row r="30" spans="1:14" ht="17" x14ac:dyDescent="0.25">
      <c r="A30" s="1">
        <v>46155</v>
      </c>
      <c r="B30" s="2">
        <v>8630.4</v>
      </c>
      <c r="C30" s="2">
        <v>8670.7000000000007</v>
      </c>
      <c r="D30" s="2">
        <v>8670.7000000000007</v>
      </c>
      <c r="E30" s="2">
        <v>8590.7000000000007</v>
      </c>
      <c r="F30" t="s">
        <v>122</v>
      </c>
      <c r="G30" s="3">
        <v>-4.5999999999999999E-3</v>
      </c>
      <c r="H30" s="6">
        <f t="shared" si="2"/>
        <v>-4.6478369681802745E-3</v>
      </c>
      <c r="I30" s="6">
        <f t="shared" si="3"/>
        <v>7.096507050406895E-3</v>
      </c>
      <c r="J30" s="7">
        <f t="shared" si="0"/>
        <v>639220000</v>
      </c>
      <c r="K30" s="7">
        <f t="shared" si="4"/>
        <v>686169000</v>
      </c>
      <c r="L30" s="8" cm="1">
        <f t="array" ref="L30">IFERROR(MAX(_xlfn._xlws.FILTER(VIX_clean!$A$2:$A$152,(VIX_clean!$A$2:$A$152&lt;A30)*ISNUMBER(VIX_clean!$B$2:$B$152))),"")</f>
        <v>46154</v>
      </c>
      <c r="M30" s="10">
        <f>IF(L30="","",_xlfn.XLOOKUP(L30,VIX_clean!$A$2:$A$152,VIX_clean!$B$2:$B$152,""))</f>
        <v>17.989999999999998</v>
      </c>
      <c r="N30" s="10" t="str">
        <f t="shared" si="1"/>
        <v>OK</v>
      </c>
    </row>
    <row r="31" spans="1:14" ht="17" x14ac:dyDescent="0.25">
      <c r="A31" s="1">
        <v>46156</v>
      </c>
      <c r="B31" s="2">
        <v>8640.7000000000007</v>
      </c>
      <c r="C31" s="2">
        <v>8630.4</v>
      </c>
      <c r="D31" s="2">
        <v>8644.5</v>
      </c>
      <c r="E31" s="2">
        <v>8602.9</v>
      </c>
      <c r="F31" t="s">
        <v>121</v>
      </c>
      <c r="G31" s="3">
        <v>1.1999999999999999E-3</v>
      </c>
      <c r="H31" s="6">
        <f t="shared" si="2"/>
        <v>1.1934556915091932E-3</v>
      </c>
      <c r="I31" s="6">
        <f t="shared" si="3"/>
        <v>7.1274439484447566E-3</v>
      </c>
      <c r="J31" s="7">
        <f t="shared" si="0"/>
        <v>608800000</v>
      </c>
      <c r="K31" s="7">
        <f t="shared" si="4"/>
        <v>680203500</v>
      </c>
      <c r="L31" s="8" cm="1">
        <f t="array" ref="L31">IFERROR(MAX(_xlfn._xlws.FILTER(VIX_clean!$A$2:$A$152,(VIX_clean!$A$2:$A$152&lt;A31)*ISNUMBER(VIX_clean!$B$2:$B$152))),"")</f>
        <v>46155</v>
      </c>
      <c r="M31" s="10">
        <f>IF(L31="","",_xlfn.XLOOKUP(L31,VIX_clean!$A$2:$A$152,VIX_clean!$B$2:$B$152,""))</f>
        <v>17.87</v>
      </c>
      <c r="N31" s="10" t="str">
        <f t="shared" si="1"/>
        <v>OK</v>
      </c>
    </row>
    <row r="32" spans="1:14" ht="17" x14ac:dyDescent="0.25">
      <c r="A32" s="1">
        <v>46157</v>
      </c>
      <c r="B32" s="2">
        <v>8630.7999999999993</v>
      </c>
      <c r="C32" s="2">
        <v>8640.7000000000007</v>
      </c>
      <c r="D32" s="2">
        <v>8691.9</v>
      </c>
      <c r="E32" s="2">
        <v>8610.2999999999993</v>
      </c>
      <c r="F32" t="s">
        <v>120</v>
      </c>
      <c r="G32" s="3">
        <v>-1.1000000000000001E-3</v>
      </c>
      <c r="H32" s="6">
        <f t="shared" si="2"/>
        <v>-1.1457405071350069E-3</v>
      </c>
      <c r="I32" s="6">
        <f t="shared" si="3"/>
        <v>7.1202121129011918E-3</v>
      </c>
      <c r="J32" s="7">
        <f t="shared" si="0"/>
        <v>626850000</v>
      </c>
      <c r="K32" s="7">
        <f t="shared" si="4"/>
        <v>672693000</v>
      </c>
      <c r="L32" s="8" cm="1">
        <f t="array" ref="L32">IFERROR(MAX(_xlfn._xlws.FILTER(VIX_clean!$A$2:$A$152,(VIX_clean!$A$2:$A$152&lt;A32)*ISNUMBER(VIX_clean!$B$2:$B$152))),"")</f>
        <v>46156</v>
      </c>
      <c r="M32" s="10">
        <f>IF(L32="","",_xlfn.XLOOKUP(L32,VIX_clean!$A$2:$A$152,VIX_clean!$B$2:$B$152,""))</f>
        <v>17.260000000000002</v>
      </c>
      <c r="N32" s="10" t="str">
        <f t="shared" si="1"/>
        <v>OK</v>
      </c>
    </row>
    <row r="33" spans="1:14" ht="17" x14ac:dyDescent="0.25">
      <c r="A33" s="1">
        <v>46160</v>
      </c>
      <c r="B33" s="2">
        <v>8505.2999999999993</v>
      </c>
      <c r="C33" s="2">
        <v>8630.7999999999993</v>
      </c>
      <c r="D33" s="2">
        <v>8630.7999999999993</v>
      </c>
      <c r="E33" s="2">
        <v>8500.2000000000007</v>
      </c>
      <c r="F33" t="s">
        <v>119</v>
      </c>
      <c r="G33" s="3">
        <v>-1.4500000000000001E-2</v>
      </c>
      <c r="H33" s="6">
        <f t="shared" si="2"/>
        <v>-1.4540946378087782E-2</v>
      </c>
      <c r="I33" s="6">
        <f t="shared" si="3"/>
        <v>7.8813777976210388E-3</v>
      </c>
      <c r="J33" s="7">
        <f t="shared" si="0"/>
        <v>664560000</v>
      </c>
      <c r="K33" s="7">
        <f t="shared" si="4"/>
        <v>674440000</v>
      </c>
      <c r="L33" s="8" cm="1">
        <f t="array" ref="L33">IFERROR(MAX(_xlfn._xlws.FILTER(VIX_clean!$A$2:$A$152,(VIX_clean!$A$2:$A$152&lt;A33)*ISNUMBER(VIX_clean!$B$2:$B$152))),"")</f>
        <v>46157</v>
      </c>
      <c r="M33" s="10">
        <f>IF(L33="","",_xlfn.XLOOKUP(L33,VIX_clean!$A$2:$A$152,VIX_clean!$B$2:$B$152,""))</f>
        <v>18.43</v>
      </c>
      <c r="N33" s="10" t="str">
        <f t="shared" si="1"/>
        <v>OK</v>
      </c>
    </row>
    <row r="34" spans="1:14" ht="17" x14ac:dyDescent="0.25">
      <c r="A34" s="1">
        <v>46161</v>
      </c>
      <c r="B34" s="2">
        <v>8604.7000000000007</v>
      </c>
      <c r="C34" s="2">
        <v>8505.2999999999993</v>
      </c>
      <c r="D34" s="2">
        <v>8607.7000000000007</v>
      </c>
      <c r="E34" s="2">
        <v>8505.2999999999993</v>
      </c>
      <c r="F34" t="s">
        <v>118</v>
      </c>
      <c r="G34" s="3">
        <v>1.17E-2</v>
      </c>
      <c r="H34" s="6">
        <f t="shared" si="2"/>
        <v>1.1686830564471729E-2</v>
      </c>
      <c r="I34" s="6">
        <f t="shared" si="3"/>
        <v>8.6384774558857323E-3</v>
      </c>
      <c r="J34" s="7">
        <f t="shared" si="0"/>
        <v>746190000</v>
      </c>
      <c r="K34" s="7">
        <f t="shared" si="4"/>
        <v>672060500</v>
      </c>
      <c r="L34" s="8" cm="1">
        <f t="array" ref="L34">IFERROR(MAX(_xlfn._xlws.FILTER(VIX_clean!$A$2:$A$152,(VIX_clean!$A$2:$A$152&lt;A34)*ISNUMBER(VIX_clean!$B$2:$B$152))),"")</f>
        <v>46160</v>
      </c>
      <c r="M34" s="10">
        <f>IF(L34="","",_xlfn.XLOOKUP(L34,VIX_clean!$A$2:$A$152,VIX_clean!$B$2:$B$152,""))</f>
        <v>17.82</v>
      </c>
      <c r="N34" s="10" t="str">
        <f t="shared" si="1"/>
        <v>OK</v>
      </c>
    </row>
    <row r="35" spans="1:14" ht="17" x14ac:dyDescent="0.25">
      <c r="A35" s="1">
        <v>46162</v>
      </c>
      <c r="B35" s="2">
        <v>8496.6</v>
      </c>
      <c r="C35" s="2">
        <v>8604.7000000000007</v>
      </c>
      <c r="D35" s="2">
        <v>8604.7000000000007</v>
      </c>
      <c r="E35" s="2">
        <v>8485.2000000000007</v>
      </c>
      <c r="F35" t="s">
        <v>117</v>
      </c>
      <c r="G35" s="3">
        <v>-1.26E-2</v>
      </c>
      <c r="H35" s="6">
        <f t="shared" si="2"/>
        <v>-1.2562901670017612E-2</v>
      </c>
      <c r="I35" s="6">
        <f t="shared" si="3"/>
        <v>9.2053328789258593E-3</v>
      </c>
      <c r="J35" s="7">
        <f t="shared" si="0"/>
        <v>738820000</v>
      </c>
      <c r="K35" s="7">
        <f t="shared" si="4"/>
        <v>661673000</v>
      </c>
      <c r="L35" s="8" cm="1">
        <f t="array" ref="L35">IFERROR(MAX(_xlfn._xlws.FILTER(VIX_clean!$A$2:$A$152,(VIX_clean!$A$2:$A$152&lt;A35)*ISNUMBER(VIX_clean!$B$2:$B$152))),"")</f>
        <v>46161</v>
      </c>
      <c r="M35" s="10">
        <f>IF(L35="","",_xlfn.XLOOKUP(L35,VIX_clean!$A$2:$A$152,VIX_clean!$B$2:$B$152,""))</f>
        <v>18.059999999999999</v>
      </c>
      <c r="N35" s="10" t="str">
        <f t="shared" si="1"/>
        <v>OK</v>
      </c>
    </row>
    <row r="36" spans="1:14" ht="17" x14ac:dyDescent="0.25">
      <c r="A36" s="1">
        <v>46163</v>
      </c>
      <c r="B36" s="2">
        <v>8621.7000000000007</v>
      </c>
      <c r="C36" s="2">
        <v>8496.6</v>
      </c>
      <c r="D36" s="2">
        <v>8649.7000000000007</v>
      </c>
      <c r="E36" s="2">
        <v>8496.6</v>
      </c>
      <c r="F36" t="s">
        <v>116</v>
      </c>
      <c r="G36" s="3">
        <v>1.47E-2</v>
      </c>
      <c r="H36" s="6">
        <f t="shared" si="2"/>
        <v>1.4723536473412846E-2</v>
      </c>
      <c r="I36" s="6">
        <f t="shared" si="3"/>
        <v>9.9230385221242626E-3</v>
      </c>
      <c r="J36" s="7">
        <f t="shared" si="0"/>
        <v>668640000</v>
      </c>
      <c r="K36" s="7">
        <f t="shared" si="4"/>
        <v>660085000</v>
      </c>
      <c r="L36" s="8" cm="1">
        <f t="array" ref="L36">IFERROR(MAX(_xlfn._xlws.FILTER(VIX_clean!$A$2:$A$152,(VIX_clean!$A$2:$A$152&lt;A36)*ISNUMBER(VIX_clean!$B$2:$B$152))),"")</f>
        <v>46162</v>
      </c>
      <c r="M36" s="10">
        <f>IF(L36="","",_xlfn.XLOOKUP(L36,VIX_clean!$A$2:$A$152,VIX_clean!$B$2:$B$152,""))</f>
        <v>17.440000000000001</v>
      </c>
      <c r="N36" s="10" t="str">
        <f t="shared" si="1"/>
        <v>OK</v>
      </c>
    </row>
    <row r="37" spans="1:14" ht="17" x14ac:dyDescent="0.25">
      <c r="A37" s="1">
        <v>46164</v>
      </c>
      <c r="B37" s="2">
        <v>8657</v>
      </c>
      <c r="C37" s="2">
        <v>8621.7000000000007</v>
      </c>
      <c r="D37" s="2">
        <v>8674.5</v>
      </c>
      <c r="E37" s="2">
        <v>8621.7000000000007</v>
      </c>
      <c r="F37" t="s">
        <v>115</v>
      </c>
      <c r="G37" s="3">
        <v>4.1000000000000003E-3</v>
      </c>
      <c r="H37" s="6">
        <f t="shared" si="2"/>
        <v>4.094320145678898E-3</v>
      </c>
      <c r="I37" s="6">
        <f t="shared" si="3"/>
        <v>9.967801118508042E-3</v>
      </c>
      <c r="J37" s="7">
        <f t="shared" si="0"/>
        <v>686640000</v>
      </c>
      <c r="K37" s="7">
        <f t="shared" si="4"/>
        <v>663769500</v>
      </c>
      <c r="L37" s="8" cm="1">
        <f t="array" ref="L37">IFERROR(MAX(_xlfn._xlws.FILTER(VIX_clean!$A$2:$A$152,(VIX_clean!$A$2:$A$152&lt;A37)*ISNUMBER(VIX_clean!$B$2:$B$152))),"")</f>
        <v>46163</v>
      </c>
      <c r="M37" s="10">
        <f>IF(L37="","",_xlfn.XLOOKUP(L37,VIX_clean!$A$2:$A$152,VIX_clean!$B$2:$B$152,""))</f>
        <v>16.760000000000002</v>
      </c>
      <c r="N37" s="10" t="str">
        <f t="shared" si="1"/>
        <v>OK</v>
      </c>
    </row>
    <row r="38" spans="1:14" ht="17" x14ac:dyDescent="0.25">
      <c r="A38" s="1">
        <v>46167</v>
      </c>
      <c r="B38" s="2">
        <v>8692</v>
      </c>
      <c r="C38" s="2">
        <v>8657</v>
      </c>
      <c r="D38" s="2">
        <v>8713</v>
      </c>
      <c r="E38" s="2">
        <v>8644.7000000000007</v>
      </c>
      <c r="F38" t="s">
        <v>114</v>
      </c>
      <c r="G38" s="3">
        <v>4.0000000000000001E-3</v>
      </c>
      <c r="H38" s="6">
        <f t="shared" si="2"/>
        <v>4.0429710061222757E-3</v>
      </c>
      <c r="I38" s="6">
        <f t="shared" si="3"/>
        <v>1.0019955421378934E-2</v>
      </c>
      <c r="J38" s="7">
        <f t="shared" si="0"/>
        <v>554580000</v>
      </c>
      <c r="K38" s="7">
        <f t="shared" si="4"/>
        <v>669039000</v>
      </c>
      <c r="L38" s="8" cm="1">
        <f t="array" ref="L38">IFERROR(MAX(_xlfn._xlws.FILTER(VIX_clean!$A$2:$A$152,(VIX_clean!$A$2:$A$152&lt;A38)*ISNUMBER(VIX_clean!$B$2:$B$152))),"")</f>
        <v>46164</v>
      </c>
      <c r="M38" s="10">
        <f>IF(L38="","",_xlfn.XLOOKUP(L38,VIX_clean!$A$2:$A$152,VIX_clean!$B$2:$B$152,""))</f>
        <v>16.7</v>
      </c>
      <c r="N38" s="10" t="str">
        <f t="shared" si="1"/>
        <v>OK</v>
      </c>
    </row>
    <row r="39" spans="1:14" ht="17" x14ac:dyDescent="0.25">
      <c r="A39" s="1">
        <v>46168</v>
      </c>
      <c r="B39" s="2">
        <v>8657.7999999999993</v>
      </c>
      <c r="C39" s="2">
        <v>8692</v>
      </c>
      <c r="D39" s="2">
        <v>8692</v>
      </c>
      <c r="E39" s="2">
        <v>8628.9</v>
      </c>
      <c r="F39" t="s">
        <v>113</v>
      </c>
      <c r="G39" s="3">
        <v>-3.8999999999999998E-3</v>
      </c>
      <c r="H39" s="6">
        <f t="shared" si="2"/>
        <v>-3.9346525540727706E-3</v>
      </c>
      <c r="I39" s="6">
        <f t="shared" si="3"/>
        <v>9.3444790353174306E-3</v>
      </c>
      <c r="J39" s="7">
        <f t="shared" si="0"/>
        <v>625340000</v>
      </c>
      <c r="K39" s="7">
        <f t="shared" si="4"/>
        <v>669096500</v>
      </c>
      <c r="L39" s="8" cm="1">
        <f t="array" ref="L39">IFERROR(MAX(_xlfn._xlws.FILTER(VIX_clean!$A$2:$A$152,(VIX_clean!$A$2:$A$152&lt;A39)*ISNUMBER(VIX_clean!$B$2:$B$152))),"")</f>
        <v>46167</v>
      </c>
      <c r="M39" s="10">
        <f>IF(L39="","",_xlfn.XLOOKUP(L39,VIX_clean!$A$2:$A$152,VIX_clean!$B$2:$B$152,""))</f>
        <v>16.59</v>
      </c>
      <c r="N39" s="10" t="str">
        <f t="shared" si="1"/>
        <v>OK</v>
      </c>
    </row>
    <row r="40" spans="1:14" ht="17" x14ac:dyDescent="0.25">
      <c r="A40" s="1">
        <v>46169</v>
      </c>
      <c r="B40" s="2">
        <v>8717.7000000000007</v>
      </c>
      <c r="C40" s="2">
        <v>8657.7999999999993</v>
      </c>
      <c r="D40" s="2">
        <v>8717.7000000000007</v>
      </c>
      <c r="E40" s="2">
        <v>8625.7999999999993</v>
      </c>
      <c r="F40" t="s">
        <v>112</v>
      </c>
      <c r="G40" s="3">
        <v>6.8999999999999999E-3</v>
      </c>
      <c r="H40" s="6">
        <f t="shared" si="2"/>
        <v>6.9186167386636743E-3</v>
      </c>
      <c r="I40" s="6">
        <f t="shared" si="3"/>
        <v>9.1332122740337765E-3</v>
      </c>
      <c r="J40" s="7">
        <f t="shared" si="0"/>
        <v>628600000</v>
      </c>
      <c r="K40" s="7">
        <f t="shared" si="4"/>
        <v>667445000</v>
      </c>
      <c r="L40" s="8" cm="1">
        <f t="array" ref="L40">IFERROR(MAX(_xlfn._xlws.FILTER(VIX_clean!$A$2:$A$152,(VIX_clean!$A$2:$A$152&lt;A40)*ISNUMBER(VIX_clean!$B$2:$B$152))),"")</f>
        <v>46168</v>
      </c>
      <c r="M40" s="10">
        <f>IF(L40="","",_xlfn.XLOOKUP(L40,VIX_clean!$A$2:$A$152,VIX_clean!$B$2:$B$152,""))</f>
        <v>17.010000000000002</v>
      </c>
      <c r="N40" s="10" t="str">
        <f t="shared" si="1"/>
        <v>OK</v>
      </c>
    </row>
    <row r="41" spans="1:14" ht="17" x14ac:dyDescent="0.25">
      <c r="A41" s="1">
        <v>46170</v>
      </c>
      <c r="B41" s="2">
        <v>8592.9</v>
      </c>
      <c r="C41" s="2">
        <v>8717.7000000000007</v>
      </c>
      <c r="D41" s="2">
        <v>8717.7000000000007</v>
      </c>
      <c r="E41" s="2">
        <v>8561.7999999999993</v>
      </c>
      <c r="F41" t="s">
        <v>111</v>
      </c>
      <c r="G41" s="3">
        <v>-1.43E-2</v>
      </c>
      <c r="H41" s="6">
        <f t="shared" si="2"/>
        <v>-1.4315702536219499E-2</v>
      </c>
      <c r="I41" s="6">
        <f t="shared" si="3"/>
        <v>9.0485494572737548E-3</v>
      </c>
      <c r="J41" s="7">
        <f t="shared" si="0"/>
        <v>691870000</v>
      </c>
      <c r="K41" s="7">
        <f t="shared" si="4"/>
        <v>659797000</v>
      </c>
      <c r="L41" s="8" cm="1">
        <f t="array" ref="L41">IFERROR(MAX(_xlfn._xlws.FILTER(VIX_clean!$A$2:$A$152,(VIX_clean!$A$2:$A$152&lt;A41)*ISNUMBER(VIX_clean!$B$2:$B$152))),"")</f>
        <v>46169</v>
      </c>
      <c r="M41" s="10">
        <f>IF(L41="","",_xlfn.XLOOKUP(L41,VIX_clean!$A$2:$A$152,VIX_clean!$B$2:$B$152,""))</f>
        <v>16.29</v>
      </c>
      <c r="N41" s="10" t="str">
        <f t="shared" si="1"/>
        <v>OK</v>
      </c>
    </row>
    <row r="42" spans="1:14" ht="17" x14ac:dyDescent="0.25">
      <c r="A42" s="1">
        <v>46171</v>
      </c>
      <c r="B42" s="2">
        <v>8731.7000000000007</v>
      </c>
      <c r="C42" s="2">
        <v>8592.9</v>
      </c>
      <c r="D42" s="2">
        <v>8731.7000000000007</v>
      </c>
      <c r="E42" s="2">
        <v>8592.9</v>
      </c>
      <c r="F42" t="s">
        <v>110</v>
      </c>
      <c r="G42" s="3">
        <v>1.6199999999999999E-2</v>
      </c>
      <c r="H42" s="6">
        <f t="shared" si="2"/>
        <v>1.6152870392998953E-2</v>
      </c>
      <c r="I42" s="6">
        <f t="shared" si="3"/>
        <v>1.00799111244323E-2</v>
      </c>
      <c r="J42" s="7">
        <f t="shared" si="0"/>
        <v>1880000000</v>
      </c>
      <c r="K42" s="7">
        <f t="shared" si="4"/>
        <v>725421000</v>
      </c>
      <c r="L42" s="8" cm="1">
        <f t="array" ref="L42">IFERROR(MAX(_xlfn._xlws.FILTER(VIX_clean!$A$2:$A$152,(VIX_clean!$A$2:$A$152&lt;A42)*ISNUMBER(VIX_clean!$B$2:$B$152))),"")</f>
        <v>46170</v>
      </c>
      <c r="M42" s="10">
        <f>IF(L42="","",_xlfn.XLOOKUP(L42,VIX_clean!$A$2:$A$152,VIX_clean!$B$2:$B$152,""))</f>
        <v>15.74</v>
      </c>
      <c r="N42" s="10" t="str">
        <f t="shared" si="1"/>
        <v>OK</v>
      </c>
    </row>
    <row r="43" spans="1:14" ht="17" x14ac:dyDescent="0.25">
      <c r="A43" s="1">
        <v>46174</v>
      </c>
      <c r="B43" s="2">
        <v>8729.4</v>
      </c>
      <c r="C43" s="2">
        <v>8731.7000000000007</v>
      </c>
      <c r="D43" s="2">
        <v>8736.5</v>
      </c>
      <c r="E43" s="2">
        <v>8697.2999999999993</v>
      </c>
      <c r="F43" t="s">
        <v>109</v>
      </c>
      <c r="G43" s="3">
        <v>-2.9999999999999997E-4</v>
      </c>
      <c r="H43" s="6">
        <f t="shared" si="2"/>
        <v>-2.6340804196212098E-4</v>
      </c>
      <c r="I43" s="6">
        <f t="shared" si="3"/>
        <v>1.0020895263686063E-2</v>
      </c>
      <c r="J43" s="7">
        <f t="shared" si="0"/>
        <v>634380000</v>
      </c>
      <c r="K43" s="7">
        <f t="shared" si="4"/>
        <v>733765500</v>
      </c>
      <c r="L43" s="8" cm="1">
        <f t="array" ref="L43">IFERROR(MAX(_xlfn._xlws.FILTER(VIX_clean!$A$2:$A$152,(VIX_clean!$A$2:$A$152&lt;A43)*ISNUMBER(VIX_clean!$B$2:$B$152))),"")</f>
        <v>46171</v>
      </c>
      <c r="M43" s="10">
        <f>IF(L43="","",_xlfn.XLOOKUP(L43,VIX_clean!$A$2:$A$152,VIX_clean!$B$2:$B$152,""))</f>
        <v>15.32</v>
      </c>
      <c r="N43" s="10" t="str">
        <f t="shared" si="1"/>
        <v>OK</v>
      </c>
    </row>
    <row r="44" spans="1:14" ht="17" x14ac:dyDescent="0.25">
      <c r="A44" s="1">
        <v>46175</v>
      </c>
      <c r="B44" s="2">
        <v>8724.4</v>
      </c>
      <c r="C44" s="2">
        <v>8729.4</v>
      </c>
      <c r="D44" s="2">
        <v>8729.4</v>
      </c>
      <c r="E44" s="2">
        <v>8625.7999999999993</v>
      </c>
      <c r="F44" t="s">
        <v>108</v>
      </c>
      <c r="G44" s="3">
        <v>-5.9999999999999995E-4</v>
      </c>
      <c r="H44" s="6">
        <f t="shared" si="2"/>
        <v>-5.7277705226022047E-4</v>
      </c>
      <c r="I44" s="6">
        <f t="shared" si="3"/>
        <v>9.91761927055612E-3</v>
      </c>
      <c r="J44" s="7">
        <f t="shared" si="0"/>
        <v>803980000</v>
      </c>
      <c r="K44" s="7">
        <f t="shared" si="4"/>
        <v>746404000</v>
      </c>
      <c r="L44" s="8" cm="1">
        <f t="array" ref="L44">IFERROR(MAX(_xlfn._xlws.FILTER(VIX_clean!$A$2:$A$152,(VIX_clean!$A$2:$A$152&lt;A44)*ISNUMBER(VIX_clean!$B$2:$B$152))),"")</f>
        <v>46174</v>
      </c>
      <c r="M44" s="10">
        <f>IF(L44="","",_xlfn.XLOOKUP(L44,VIX_clean!$A$2:$A$152,VIX_clean!$B$2:$B$152,""))</f>
        <v>16.05</v>
      </c>
      <c r="N44" s="10" t="str">
        <f t="shared" si="1"/>
        <v>OK</v>
      </c>
    </row>
    <row r="45" spans="1:14" ht="17" x14ac:dyDescent="0.25">
      <c r="A45" s="1">
        <v>46176</v>
      </c>
      <c r="B45" s="2">
        <v>8785.7000000000007</v>
      </c>
      <c r="C45" s="2">
        <v>8724.4</v>
      </c>
      <c r="D45" s="2">
        <v>8810.5</v>
      </c>
      <c r="E45" s="2">
        <v>8724.4</v>
      </c>
      <c r="F45" t="s">
        <v>107</v>
      </c>
      <c r="G45" s="3">
        <v>7.0000000000000001E-3</v>
      </c>
      <c r="H45" s="6">
        <f t="shared" si="2"/>
        <v>7.0262711475861384E-3</v>
      </c>
      <c r="I45" s="6">
        <f t="shared" si="3"/>
        <v>1.0056075025151219E-2</v>
      </c>
      <c r="J45" s="7">
        <f t="shared" si="0"/>
        <v>720420000</v>
      </c>
      <c r="K45" s="7">
        <f t="shared" si="4"/>
        <v>744996500</v>
      </c>
      <c r="L45" s="8" cm="1">
        <f t="array" ref="L45">IFERROR(MAX(_xlfn._xlws.FILTER(VIX_clean!$A$2:$A$152,(VIX_clean!$A$2:$A$152&lt;A45)*ISNUMBER(VIX_clean!$B$2:$B$152))),"")</f>
        <v>46175</v>
      </c>
      <c r="M45" s="10">
        <f>IF(L45="","",_xlfn.XLOOKUP(L45,VIX_clean!$A$2:$A$152,VIX_clean!$B$2:$B$152,""))</f>
        <v>15.77</v>
      </c>
      <c r="N45" s="10" t="str">
        <f t="shared" si="1"/>
        <v>OK</v>
      </c>
    </row>
    <row r="46" spans="1:14" ht="17" x14ac:dyDescent="0.25">
      <c r="A46" s="1">
        <v>46177</v>
      </c>
      <c r="B46" s="2">
        <v>8686.1</v>
      </c>
      <c r="C46" s="2">
        <v>8785.7000000000007</v>
      </c>
      <c r="D46" s="2">
        <v>8785.7000000000007</v>
      </c>
      <c r="E46" s="2">
        <v>8652.2000000000007</v>
      </c>
      <c r="F46" t="s">
        <v>106</v>
      </c>
      <c r="G46" s="3">
        <v>-1.1299999999999999E-2</v>
      </c>
      <c r="H46" s="6">
        <f t="shared" si="2"/>
        <v>-1.133660379935586E-2</v>
      </c>
      <c r="I46" s="6">
        <f t="shared" si="3"/>
        <v>1.0596108281710797E-2</v>
      </c>
      <c r="J46" s="7">
        <f t="shared" si="0"/>
        <v>675400000</v>
      </c>
      <c r="K46" s="7">
        <f t="shared" si="4"/>
        <v>729177000</v>
      </c>
      <c r="L46" s="8" cm="1">
        <f t="array" ref="L46">IFERROR(MAX(_xlfn._xlws.FILTER(VIX_clean!$A$2:$A$152,(VIX_clean!$A$2:$A$152&lt;A46)*ISNUMBER(VIX_clean!$B$2:$B$152))),"")</f>
        <v>46176</v>
      </c>
      <c r="M46" s="10">
        <f>IF(L46="","",_xlfn.XLOOKUP(L46,VIX_clean!$A$2:$A$152,VIX_clean!$B$2:$B$152,""))</f>
        <v>16.059999999999999</v>
      </c>
      <c r="N46" s="10" t="str">
        <f t="shared" si="1"/>
        <v>OK</v>
      </c>
    </row>
    <row r="47" spans="1:14" ht="17" x14ac:dyDescent="0.25">
      <c r="A47" s="1">
        <v>46178</v>
      </c>
      <c r="B47" s="2">
        <v>8625.1</v>
      </c>
      <c r="C47" s="2">
        <v>8686.1</v>
      </c>
      <c r="D47" s="2">
        <v>8705.1</v>
      </c>
      <c r="E47" s="2">
        <v>8613.6</v>
      </c>
      <c r="F47" t="s">
        <v>105</v>
      </c>
      <c r="G47" s="3">
        <v>-7.0000000000000001E-3</v>
      </c>
      <c r="H47" s="6">
        <f t="shared" si="2"/>
        <v>-7.0227144518253404E-3</v>
      </c>
      <c r="I47" s="6">
        <f t="shared" si="3"/>
        <v>9.945250885353786E-3</v>
      </c>
      <c r="J47" s="7">
        <f t="shared" si="0"/>
        <v>616370000</v>
      </c>
      <c r="K47" s="7">
        <f t="shared" si="4"/>
        <v>726733000</v>
      </c>
      <c r="L47" s="8" cm="1">
        <f t="array" ref="L47">IFERROR(MAX(_xlfn._xlws.FILTER(VIX_clean!$A$2:$A$152,(VIX_clean!$A$2:$A$152&lt;A47)*ISNUMBER(VIX_clean!$B$2:$B$152))),"")</f>
        <v>46177</v>
      </c>
      <c r="M47" s="10">
        <f>IF(L47="","",_xlfn.XLOOKUP(L47,VIX_clean!$A$2:$A$152,VIX_clean!$B$2:$B$152,""))</f>
        <v>15.4</v>
      </c>
      <c r="N47" s="10" t="str">
        <f t="shared" si="1"/>
        <v>OK</v>
      </c>
    </row>
    <row r="48" spans="1:14" ht="17" x14ac:dyDescent="0.25">
      <c r="A48" s="1">
        <v>46182</v>
      </c>
      <c r="B48" s="2">
        <v>8604.2000000000007</v>
      </c>
      <c r="C48" s="2">
        <v>8625.1</v>
      </c>
      <c r="D48" s="2">
        <v>8625.1</v>
      </c>
      <c r="E48" s="2">
        <v>8490.9</v>
      </c>
      <c r="F48" t="s">
        <v>104</v>
      </c>
      <c r="G48" s="3">
        <v>-2.3999999999999998E-3</v>
      </c>
      <c r="H48" s="6">
        <f t="shared" si="2"/>
        <v>-2.4231603111847244E-3</v>
      </c>
      <c r="I48" s="6">
        <f t="shared" si="3"/>
        <v>9.4883586440253371E-3</v>
      </c>
      <c r="J48" s="7">
        <f t="shared" si="0"/>
        <v>880920000</v>
      </c>
      <c r="K48" s="7">
        <f t="shared" si="4"/>
        <v>740793000</v>
      </c>
      <c r="L48" s="8" cm="1">
        <f t="array" ref="L48">IFERROR(MAX(_xlfn._xlws.FILTER(VIX_clean!$A$2:$A$152,(VIX_clean!$A$2:$A$152&lt;A48)*ISNUMBER(VIX_clean!$B$2:$B$152))),"")</f>
        <v>46181</v>
      </c>
      <c r="M48" s="10">
        <f>IF(L48="","",_xlfn.XLOOKUP(L48,VIX_clean!$A$2:$A$152,VIX_clean!$B$2:$B$152,""))</f>
        <v>18.920000000000002</v>
      </c>
      <c r="N48" s="10" t="str">
        <f t="shared" si="1"/>
        <v>OK</v>
      </c>
    </row>
    <row r="49" spans="1:14" ht="17" x14ac:dyDescent="0.25">
      <c r="A49" s="1">
        <v>46183</v>
      </c>
      <c r="B49" s="2">
        <v>8653.2999999999993</v>
      </c>
      <c r="C49" s="2">
        <v>8604.2000000000007</v>
      </c>
      <c r="D49" s="2">
        <v>8670.2000000000007</v>
      </c>
      <c r="E49" s="2">
        <v>8585.5</v>
      </c>
      <c r="F49" t="s">
        <v>103</v>
      </c>
      <c r="G49" s="3">
        <v>5.7000000000000002E-3</v>
      </c>
      <c r="H49" s="6">
        <f t="shared" si="2"/>
        <v>5.7065154227002868E-3</v>
      </c>
      <c r="I49" s="6">
        <f t="shared" si="3"/>
        <v>8.8574123024659068E-3</v>
      </c>
      <c r="J49" s="7">
        <f t="shared" si="0"/>
        <v>814390000</v>
      </c>
      <c r="K49" s="7">
        <f t="shared" si="4"/>
        <v>745298500</v>
      </c>
      <c r="L49" s="8" cm="1">
        <f t="array" ref="L49">IFERROR(MAX(_xlfn._xlws.FILTER(VIX_clean!$A$2:$A$152,(VIX_clean!$A$2:$A$152&lt;A49)*ISNUMBER(VIX_clean!$B$2:$B$152))),"")</f>
        <v>46182</v>
      </c>
      <c r="M49" s="10">
        <f>IF(L49="","",_xlfn.XLOOKUP(L49,VIX_clean!$A$2:$A$152,VIX_clean!$B$2:$B$152,""))</f>
        <v>19.87</v>
      </c>
      <c r="N49" s="10" t="str">
        <f t="shared" si="1"/>
        <v>OK</v>
      </c>
    </row>
    <row r="50" spans="1:14" ht="17" x14ac:dyDescent="0.25">
      <c r="A50" s="1">
        <v>46184</v>
      </c>
      <c r="B50" s="2">
        <v>8633.2000000000007</v>
      </c>
      <c r="C50" s="2">
        <v>8653.2999999999993</v>
      </c>
      <c r="D50" s="2">
        <v>8670.2000000000007</v>
      </c>
      <c r="E50" s="2">
        <v>8555.2999999999993</v>
      </c>
      <c r="F50" t="s">
        <v>102</v>
      </c>
      <c r="G50" s="3">
        <v>-2.3E-3</v>
      </c>
      <c r="H50" s="6">
        <f t="shared" si="2"/>
        <v>-2.3228132619923514E-3</v>
      </c>
      <c r="I50" s="6">
        <f t="shared" si="3"/>
        <v>8.0073438951040951E-3</v>
      </c>
      <c r="J50" s="7">
        <f t="shared" si="0"/>
        <v>859250000</v>
      </c>
      <c r="K50" s="7">
        <f t="shared" si="4"/>
        <v>756300000</v>
      </c>
      <c r="L50" s="8" cm="1">
        <f t="array" ref="L50">IFERROR(MAX(_xlfn._xlws.FILTER(VIX_clean!$A$2:$A$152,(VIX_clean!$A$2:$A$152&lt;A50)*ISNUMBER(VIX_clean!$B$2:$B$152))),"")</f>
        <v>46183</v>
      </c>
      <c r="M50" s="10">
        <f>IF(L50="","",_xlfn.XLOOKUP(L50,VIX_clean!$A$2:$A$152,VIX_clean!$B$2:$B$152,""))</f>
        <v>22.22</v>
      </c>
      <c r="N50" s="10" t="str">
        <f t="shared" si="1"/>
        <v>OK</v>
      </c>
    </row>
    <row r="51" spans="1:14" ht="17" x14ac:dyDescent="0.25">
      <c r="A51" s="1">
        <v>46185</v>
      </c>
      <c r="B51" s="2">
        <v>8804</v>
      </c>
      <c r="C51" s="2">
        <v>8633.2000000000007</v>
      </c>
      <c r="D51" s="2">
        <v>8809.2999999999993</v>
      </c>
      <c r="E51" s="2">
        <v>8633.2000000000007</v>
      </c>
      <c r="F51" t="s">
        <v>101</v>
      </c>
      <c r="G51" s="3">
        <v>1.9800000000000002E-2</v>
      </c>
      <c r="H51" s="6">
        <f t="shared" si="2"/>
        <v>1.978408932956488E-2</v>
      </c>
      <c r="I51" s="6">
        <f t="shared" si="3"/>
        <v>9.554176014740668E-3</v>
      </c>
      <c r="J51" s="7">
        <f t="shared" si="0"/>
        <v>696140000</v>
      </c>
      <c r="K51" s="7">
        <f t="shared" si="4"/>
        <v>760667000</v>
      </c>
      <c r="L51" s="8" cm="1">
        <f t="array" ref="L51">IFERROR(MAX(_xlfn._xlws.FILTER(VIX_clean!$A$2:$A$152,(VIX_clean!$A$2:$A$152&lt;A51)*ISNUMBER(VIX_clean!$B$2:$B$152))),"")</f>
        <v>46184</v>
      </c>
      <c r="M51" s="10">
        <f>IF(L51="","",_xlfn.XLOOKUP(L51,VIX_clean!$A$2:$A$152,VIX_clean!$B$2:$B$152,""))</f>
        <v>19.440000000000001</v>
      </c>
      <c r="N51" s="10" t="str">
        <f t="shared" si="1"/>
        <v>OK</v>
      </c>
    </row>
    <row r="52" spans="1:14" ht="17" x14ac:dyDescent="0.25">
      <c r="A52" s="1">
        <v>46188</v>
      </c>
      <c r="B52" s="2">
        <v>8914</v>
      </c>
      <c r="C52" s="2">
        <v>8804</v>
      </c>
      <c r="D52" s="2">
        <v>8937.5</v>
      </c>
      <c r="E52" s="2">
        <v>8804</v>
      </c>
      <c r="F52" t="s">
        <v>100</v>
      </c>
      <c r="G52" s="3">
        <v>1.2500000000000001E-2</v>
      </c>
      <c r="H52" s="6">
        <f t="shared" si="2"/>
        <v>1.249432076328949E-2</v>
      </c>
      <c r="I52" s="6">
        <f t="shared" si="3"/>
        <v>1.0001057355111673E-2</v>
      </c>
      <c r="J52" s="7">
        <f t="shared" si="0"/>
        <v>938490000</v>
      </c>
      <c r="K52" s="7">
        <f t="shared" si="4"/>
        <v>776249000</v>
      </c>
      <c r="L52" s="8" cm="1">
        <f t="array" ref="L52">IFERROR(MAX(_xlfn._xlws.FILTER(VIX_clean!$A$2:$A$152,(VIX_clean!$A$2:$A$152&lt;A52)*ISNUMBER(VIX_clean!$B$2:$B$152))),"")</f>
        <v>46185</v>
      </c>
      <c r="M52" s="10">
        <f>IF(L52="","",_xlfn.XLOOKUP(L52,VIX_clean!$A$2:$A$152,VIX_clean!$B$2:$B$152,""))</f>
        <v>17.68</v>
      </c>
      <c r="N52" s="10" t="str">
        <f t="shared" si="1"/>
        <v>OK</v>
      </c>
    </row>
    <row r="53" spans="1:14" ht="17" x14ac:dyDescent="0.25">
      <c r="A53" s="1">
        <v>46189</v>
      </c>
      <c r="B53" s="2">
        <v>8917.7000000000007</v>
      </c>
      <c r="C53" s="2">
        <v>8914</v>
      </c>
      <c r="D53" s="2">
        <v>8917.7000000000007</v>
      </c>
      <c r="E53" s="2">
        <v>8834</v>
      </c>
      <c r="F53" t="s">
        <v>99</v>
      </c>
      <c r="G53" s="3">
        <v>4.0000000000000002E-4</v>
      </c>
      <c r="H53" s="6">
        <f t="shared" si="2"/>
        <v>4.1507740632718004E-4</v>
      </c>
      <c r="I53" s="6">
        <f t="shared" si="3"/>
        <v>9.8743099848993196E-3</v>
      </c>
      <c r="J53" s="7">
        <f t="shared" si="0"/>
        <v>724490000</v>
      </c>
      <c r="K53" s="7">
        <f t="shared" si="4"/>
        <v>779245500</v>
      </c>
      <c r="L53" s="8" cm="1">
        <f t="array" ref="L53">IFERROR(MAX(_xlfn._xlws.FILTER(VIX_clean!$A$2:$A$152,(VIX_clean!$A$2:$A$152&lt;A53)*ISNUMBER(VIX_clean!$B$2:$B$152))),"")</f>
        <v>46188</v>
      </c>
      <c r="M53" s="10">
        <f>IF(L53="","",_xlfn.XLOOKUP(L53,VIX_clean!$A$2:$A$152,VIX_clean!$B$2:$B$152,""))</f>
        <v>16.2</v>
      </c>
      <c r="N53" s="10" t="str">
        <f t="shared" si="1"/>
        <v>OK</v>
      </c>
    </row>
    <row r="54" spans="1:14" ht="17" x14ac:dyDescent="0.25">
      <c r="A54" s="1">
        <v>46190</v>
      </c>
      <c r="B54" s="2">
        <v>8966.2999999999993</v>
      </c>
      <c r="C54" s="2">
        <v>8917.7000000000007</v>
      </c>
      <c r="D54" s="2">
        <v>8976.7999999999993</v>
      </c>
      <c r="E54" s="2">
        <v>8888.1</v>
      </c>
      <c r="F54" t="s">
        <v>98</v>
      </c>
      <c r="G54" s="3">
        <v>5.4000000000000003E-3</v>
      </c>
      <c r="H54" s="6">
        <f t="shared" si="2"/>
        <v>5.4498357199723735E-3</v>
      </c>
      <c r="I54" s="6">
        <f t="shared" si="3"/>
        <v>9.827553821768158E-3</v>
      </c>
      <c r="J54" s="7">
        <f t="shared" si="0"/>
        <v>694550000</v>
      </c>
      <c r="K54" s="7">
        <f t="shared" si="4"/>
        <v>776663500</v>
      </c>
      <c r="L54" s="8" cm="1">
        <f t="array" ref="L54">IFERROR(MAX(_xlfn._xlws.FILTER(VIX_clean!$A$2:$A$152,(VIX_clean!$A$2:$A$152&lt;A54)*ISNUMBER(VIX_clean!$B$2:$B$152))),"")</f>
        <v>46189</v>
      </c>
      <c r="M54" s="10">
        <f>IF(L54="","",_xlfn.XLOOKUP(L54,VIX_clean!$A$2:$A$152,VIX_clean!$B$2:$B$152,""))</f>
        <v>16.41</v>
      </c>
      <c r="N54" s="10" t="str">
        <f t="shared" si="1"/>
        <v>OK</v>
      </c>
    </row>
    <row r="55" spans="1:14" ht="17" x14ac:dyDescent="0.25">
      <c r="A55" s="1">
        <v>46191</v>
      </c>
      <c r="B55" s="2">
        <v>8911.1</v>
      </c>
      <c r="C55" s="2">
        <v>8966.2999999999993</v>
      </c>
      <c r="D55" s="2">
        <v>8983.7999999999993</v>
      </c>
      <c r="E55" s="2">
        <v>8911.1</v>
      </c>
      <c r="F55" t="s">
        <v>97</v>
      </c>
      <c r="G55" s="3">
        <v>-6.1999999999999998E-3</v>
      </c>
      <c r="H55" s="6">
        <f t="shared" si="2"/>
        <v>-6.1563855771052944E-3</v>
      </c>
      <c r="I55" s="6">
        <f t="shared" si="3"/>
        <v>8.9881123117683953E-3</v>
      </c>
      <c r="J55" s="7">
        <f t="shared" si="0"/>
        <v>803850000</v>
      </c>
      <c r="K55" s="7">
        <f t="shared" si="4"/>
        <v>779915000</v>
      </c>
      <c r="L55" s="8" cm="1">
        <f t="array" ref="L55">IFERROR(MAX(_xlfn._xlws.FILTER(VIX_clean!$A$2:$A$152,(VIX_clean!$A$2:$A$152&lt;A55)*ISNUMBER(VIX_clean!$B$2:$B$152))),"")</f>
        <v>46190</v>
      </c>
      <c r="M55" s="10">
        <f>IF(L55="","",_xlfn.XLOOKUP(L55,VIX_clean!$A$2:$A$152,VIX_clean!$B$2:$B$152,""))</f>
        <v>18.440000000000001</v>
      </c>
      <c r="N55" s="10" t="str">
        <f t="shared" si="1"/>
        <v>OK</v>
      </c>
    </row>
    <row r="56" spans="1:14" ht="17" x14ac:dyDescent="0.25">
      <c r="A56" s="1">
        <v>46192</v>
      </c>
      <c r="B56" s="2">
        <v>8828.7000000000007</v>
      </c>
      <c r="C56" s="2">
        <v>8911.1</v>
      </c>
      <c r="D56" s="2">
        <v>8911.1</v>
      </c>
      <c r="E56" s="2">
        <v>8802.6</v>
      </c>
      <c r="F56" t="s">
        <v>96</v>
      </c>
      <c r="G56" s="3">
        <v>-9.1999999999999998E-3</v>
      </c>
      <c r="H56" s="6">
        <f t="shared" si="2"/>
        <v>-9.2468943228107836E-3</v>
      </c>
      <c r="I56" s="6">
        <f t="shared" si="3"/>
        <v>8.6056059746988031E-3</v>
      </c>
      <c r="J56" s="7">
        <f t="shared" si="0"/>
        <v>1940000000</v>
      </c>
      <c r="K56" s="7">
        <f t="shared" si="4"/>
        <v>843483000</v>
      </c>
      <c r="L56" s="8" cm="1">
        <f t="array" ref="L56">IFERROR(MAX(_xlfn._xlws.FILTER(VIX_clean!$A$2:$A$152,(VIX_clean!$A$2:$A$152&lt;A56)*ISNUMBER(VIX_clean!$B$2:$B$152))),"")</f>
        <v>46191</v>
      </c>
      <c r="M56" s="10">
        <f>IF(L56="","",_xlfn.XLOOKUP(L56,VIX_clean!$A$2:$A$152,VIX_clean!$B$2:$B$152,""))</f>
        <v>16.399999999999999</v>
      </c>
      <c r="N56" s="10" t="str">
        <f t="shared" si="1"/>
        <v>OK</v>
      </c>
    </row>
    <row r="57" spans="1:14" ht="17" x14ac:dyDescent="0.25">
      <c r="A57" s="1">
        <v>46195</v>
      </c>
      <c r="B57" s="2">
        <v>8816.1</v>
      </c>
      <c r="C57" s="2">
        <v>8828.7000000000007</v>
      </c>
      <c r="D57" s="2">
        <v>8851.7999999999993</v>
      </c>
      <c r="E57" s="2">
        <v>8793.7999999999993</v>
      </c>
      <c r="F57" t="s">
        <v>95</v>
      </c>
      <c r="G57" s="3">
        <v>-1.4E-3</v>
      </c>
      <c r="H57" s="6">
        <f t="shared" si="2"/>
        <v>-1.4271636820822886E-3</v>
      </c>
      <c r="I57" s="6">
        <f t="shared" si="3"/>
        <v>8.622518264753444E-3</v>
      </c>
      <c r="J57" s="7">
        <f t="shared" si="0"/>
        <v>672150000</v>
      </c>
      <c r="K57" s="7">
        <f t="shared" si="4"/>
        <v>842758500</v>
      </c>
      <c r="L57" s="8" cm="1">
        <f t="array" ref="L57">IFERROR(MAX(_xlfn._xlws.FILTER(VIX_clean!$A$2:$A$152,(VIX_clean!$A$2:$A$152&lt;A57)*ISNUMBER(VIX_clean!$B$2:$B$152))),"")</f>
        <v>46192</v>
      </c>
      <c r="M57" s="10">
        <f>IF(L57="","",_xlfn.XLOOKUP(L57,VIX_clean!$A$2:$A$152,VIX_clean!$B$2:$B$152,""))</f>
        <v>16.78</v>
      </c>
      <c r="N57" s="10" t="str">
        <f t="shared" si="1"/>
        <v>OK</v>
      </c>
    </row>
    <row r="58" spans="1:14" ht="17" x14ac:dyDescent="0.25">
      <c r="A58" s="1">
        <v>46196</v>
      </c>
      <c r="B58" s="2">
        <v>8787</v>
      </c>
      <c r="C58" s="2">
        <v>8816.1</v>
      </c>
      <c r="D58" s="2">
        <v>8849.9</v>
      </c>
      <c r="E58" s="2">
        <v>8777.7999999999993</v>
      </c>
      <c r="F58" t="s">
        <v>94</v>
      </c>
      <c r="G58" s="3">
        <v>-3.3E-3</v>
      </c>
      <c r="H58" s="6">
        <f t="shared" si="2"/>
        <v>-3.3007792561337013E-3</v>
      </c>
      <c r="I58" s="6">
        <f t="shared" si="3"/>
        <v>8.6850781803845725E-3</v>
      </c>
      <c r="J58" s="7">
        <f t="shared" si="0"/>
        <v>788940000</v>
      </c>
      <c r="K58" s="7">
        <f t="shared" si="4"/>
        <v>854476500</v>
      </c>
      <c r="L58" s="8" cm="1">
        <f t="array" ref="L58">IFERROR(MAX(_xlfn._xlws.FILTER(VIX_clean!$A$2:$A$152,(VIX_clean!$A$2:$A$152&lt;A58)*ISNUMBER(VIX_clean!$B$2:$B$152))),"")</f>
        <v>46195</v>
      </c>
      <c r="M58" s="10">
        <f>IF(L58="","",_xlfn.XLOOKUP(L58,VIX_clean!$A$2:$A$152,VIX_clean!$B$2:$B$152,""))</f>
        <v>17.28</v>
      </c>
      <c r="N58" s="10" t="str">
        <f t="shared" si="1"/>
        <v>OK</v>
      </c>
    </row>
    <row r="59" spans="1:14" ht="17" x14ac:dyDescent="0.25">
      <c r="A59" s="1">
        <v>46197</v>
      </c>
      <c r="B59" s="2">
        <v>8808.4</v>
      </c>
      <c r="C59" s="2">
        <v>8787</v>
      </c>
      <c r="D59" s="2">
        <v>8823.2000000000007</v>
      </c>
      <c r="E59" s="2">
        <v>8784.4</v>
      </c>
      <c r="F59" t="s">
        <v>93</v>
      </c>
      <c r="G59" s="3">
        <v>2.3999999999999998E-3</v>
      </c>
      <c r="H59" s="6">
        <f t="shared" si="2"/>
        <v>2.4354159553885424E-3</v>
      </c>
      <c r="I59" s="6">
        <f t="shared" si="3"/>
        <v>8.5064014063722486E-3</v>
      </c>
      <c r="J59" s="7">
        <f t="shared" si="0"/>
        <v>911040000</v>
      </c>
      <c r="K59" s="7">
        <f t="shared" si="4"/>
        <v>868761500</v>
      </c>
      <c r="L59" s="8" cm="1">
        <f t="array" ref="L59">IFERROR(MAX(_xlfn._xlws.FILTER(VIX_clean!$A$2:$A$152,(VIX_clean!$A$2:$A$152&lt;A59)*ISNUMBER(VIX_clean!$B$2:$B$152))),"")</f>
        <v>46196</v>
      </c>
      <c r="M59" s="10">
        <f>IF(L59="","",_xlfn.XLOOKUP(L59,VIX_clean!$A$2:$A$152,VIX_clean!$B$2:$B$152,""))</f>
        <v>19.489999999999998</v>
      </c>
      <c r="N59" s="10" t="str">
        <f t="shared" si="1"/>
        <v>OK</v>
      </c>
    </row>
    <row r="60" spans="1:14" ht="17" x14ac:dyDescent="0.25">
      <c r="A60" s="1">
        <v>46198</v>
      </c>
      <c r="B60" s="2">
        <v>8748.7000000000007</v>
      </c>
      <c r="C60" s="2">
        <v>8808.4</v>
      </c>
      <c r="D60" s="2">
        <v>8808.4</v>
      </c>
      <c r="E60" s="2">
        <v>8748.7000000000007</v>
      </c>
      <c r="F60" t="s">
        <v>92</v>
      </c>
      <c r="G60" s="3">
        <v>-6.7999999999999996E-3</v>
      </c>
      <c r="H60" s="6">
        <f t="shared" si="2"/>
        <v>-6.777621361427566E-3</v>
      </c>
      <c r="I60" s="6">
        <f t="shared" si="3"/>
        <v>8.1079857200389415E-3</v>
      </c>
      <c r="J60" s="7">
        <f t="shared" si="0"/>
        <v>909580000</v>
      </c>
      <c r="K60" s="7">
        <f t="shared" si="4"/>
        <v>882810500</v>
      </c>
      <c r="L60" s="8" cm="1">
        <f t="array" ref="L60">IFERROR(MAX(_xlfn._xlws.FILTER(VIX_clean!$A$2:$A$152,(VIX_clean!$A$2:$A$152&lt;A60)*ISNUMBER(VIX_clean!$B$2:$B$152))),"")</f>
        <v>46197</v>
      </c>
      <c r="M60" s="10">
        <f>IF(L60="","",_xlfn.XLOOKUP(L60,VIX_clean!$A$2:$A$152,VIX_clean!$B$2:$B$152,""))</f>
        <v>18.63</v>
      </c>
      <c r="N60" s="10" t="str">
        <f t="shared" si="1"/>
        <v>OK</v>
      </c>
    </row>
    <row r="61" spans="1:14" ht="17" x14ac:dyDescent="0.25">
      <c r="A61" s="1">
        <v>46199</v>
      </c>
      <c r="B61" s="2">
        <v>8764.2000000000007</v>
      </c>
      <c r="C61" s="2">
        <v>8748.7000000000007</v>
      </c>
      <c r="D61" s="2">
        <v>8774.5</v>
      </c>
      <c r="E61" s="2">
        <v>8708.1</v>
      </c>
      <c r="F61" t="s">
        <v>91</v>
      </c>
      <c r="G61" s="3">
        <v>1.8E-3</v>
      </c>
      <c r="H61" s="6">
        <f t="shared" si="2"/>
        <v>1.7716917942094401E-3</v>
      </c>
      <c r="I61" s="6">
        <f t="shared" si="3"/>
        <v>7.811976417435933E-3</v>
      </c>
      <c r="J61" s="7">
        <f t="shared" si="0"/>
        <v>813270000</v>
      </c>
      <c r="K61" s="7">
        <f t="shared" si="4"/>
        <v>888880500</v>
      </c>
      <c r="L61" s="8" cm="1">
        <f t="array" ref="L61">IFERROR(MAX(_xlfn._xlws.FILTER(VIX_clean!$A$2:$A$152,(VIX_clean!$A$2:$A$152&lt;A61)*ISNUMBER(VIX_clean!$B$2:$B$152))),"")</f>
        <v>46198</v>
      </c>
      <c r="M61" s="10">
        <f>IF(L61="","",_xlfn.XLOOKUP(L61,VIX_clean!$A$2:$A$152,VIX_clean!$B$2:$B$152,""))</f>
        <v>18.89</v>
      </c>
      <c r="N61" s="10" t="str">
        <f t="shared" si="1"/>
        <v>OK</v>
      </c>
    </row>
    <row r="62" spans="1:14" ht="17" x14ac:dyDescent="0.25">
      <c r="A62" s="1">
        <v>46202</v>
      </c>
      <c r="B62" s="2">
        <v>8823.4</v>
      </c>
      <c r="C62" s="2">
        <v>8764.2000000000007</v>
      </c>
      <c r="D62" s="2">
        <v>8823.4</v>
      </c>
      <c r="E62" s="2">
        <v>8764.2000000000007</v>
      </c>
      <c r="F62" t="s">
        <v>90</v>
      </c>
      <c r="G62" s="3">
        <v>6.7999999999999996E-3</v>
      </c>
      <c r="H62" s="6">
        <f t="shared" si="2"/>
        <v>6.7547522877158261E-3</v>
      </c>
      <c r="I62" s="6">
        <f t="shared" si="3"/>
        <v>7.8719736833031805E-3</v>
      </c>
      <c r="J62" s="7">
        <f t="shared" si="0"/>
        <v>718580000</v>
      </c>
      <c r="K62" s="7">
        <f t="shared" si="4"/>
        <v>830809500</v>
      </c>
      <c r="L62" s="8" cm="1">
        <f t="array" ref="L62">IFERROR(MAX(_xlfn._xlws.FILTER(VIX_clean!$A$2:$A$152,(VIX_clean!$A$2:$A$152&lt;A62)*ISNUMBER(VIX_clean!$B$2:$B$152))),"")</f>
        <v>46199</v>
      </c>
      <c r="M62" s="10">
        <f>IF(L62="","",_xlfn.XLOOKUP(L62,VIX_clean!$A$2:$A$152,VIX_clean!$B$2:$B$152,""))</f>
        <v>18.41</v>
      </c>
      <c r="N62" s="10" t="str">
        <f t="shared" si="1"/>
        <v>OK</v>
      </c>
    </row>
    <row r="63" spans="1:14" ht="17" x14ac:dyDescent="0.25">
      <c r="A63" s="1">
        <v>46203</v>
      </c>
      <c r="B63" s="2">
        <v>8778.7000000000007</v>
      </c>
      <c r="C63" s="2">
        <v>8823.4</v>
      </c>
      <c r="D63" s="2">
        <v>8836.4</v>
      </c>
      <c r="E63" s="2">
        <v>8778.7000000000007</v>
      </c>
      <c r="F63" t="s">
        <v>89</v>
      </c>
      <c r="G63" s="3">
        <v>-5.1000000000000004E-3</v>
      </c>
      <c r="H63" s="6">
        <f t="shared" si="2"/>
        <v>-5.066074302423007E-3</v>
      </c>
      <c r="I63" s="6">
        <f t="shared" si="3"/>
        <v>7.9892301947302926E-3</v>
      </c>
      <c r="J63" s="7">
        <f t="shared" si="0"/>
        <v>905700000</v>
      </c>
      <c r="K63" s="7">
        <f t="shared" si="4"/>
        <v>844375500</v>
      </c>
      <c r="L63" s="8" cm="1">
        <f t="array" ref="L63">IFERROR(MAX(_xlfn._xlws.FILTER(VIX_clean!$A$2:$A$152,(VIX_clean!$A$2:$A$152&lt;A63)*ISNUMBER(VIX_clean!$B$2:$B$152))),"")</f>
        <v>46202</v>
      </c>
      <c r="M63" s="10">
        <f>IF(L63="","",_xlfn.XLOOKUP(L63,VIX_clean!$A$2:$A$152,VIX_clean!$B$2:$B$152,""))</f>
        <v>17.649999999999999</v>
      </c>
      <c r="N63" s="10" t="str">
        <f t="shared" si="1"/>
        <v>OK</v>
      </c>
    </row>
    <row r="64" spans="1:14" ht="17" x14ac:dyDescent="0.25">
      <c r="A64" s="1">
        <v>46204</v>
      </c>
      <c r="B64" s="2">
        <v>8722.9</v>
      </c>
      <c r="C64" s="2">
        <v>8778.7000000000007</v>
      </c>
      <c r="D64" s="2">
        <v>8795.7999999999993</v>
      </c>
      <c r="E64" s="2">
        <v>8711.4</v>
      </c>
      <c r="F64" t="s">
        <v>88</v>
      </c>
      <c r="G64" s="3">
        <v>-6.4000000000000003E-3</v>
      </c>
      <c r="H64" s="6">
        <f t="shared" si="2"/>
        <v>-6.3562942121272448E-3</v>
      </c>
      <c r="I64" s="6">
        <f t="shared" si="3"/>
        <v>8.1907009121603234E-3</v>
      </c>
      <c r="J64" s="7">
        <f t="shared" si="0"/>
        <v>806040000</v>
      </c>
      <c r="K64" s="7">
        <f t="shared" si="4"/>
        <v>844478500</v>
      </c>
      <c r="L64" s="8" cm="1">
        <f t="array" ref="L64">IFERROR(MAX(_xlfn._xlws.FILTER(VIX_clean!$A$2:$A$152,(VIX_clean!$A$2:$A$152&lt;A64)*ISNUMBER(VIX_clean!$B$2:$B$152))),"")</f>
        <v>46203</v>
      </c>
      <c r="M64" s="10">
        <f>IF(L64="","",_xlfn.XLOOKUP(L64,VIX_clean!$A$2:$A$152,VIX_clean!$B$2:$B$152,""))</f>
        <v>16.45</v>
      </c>
      <c r="N64" s="10" t="str">
        <f t="shared" si="1"/>
        <v>OK</v>
      </c>
    </row>
    <row r="65" spans="1:14" ht="17" x14ac:dyDescent="0.25">
      <c r="A65" s="1">
        <v>46205</v>
      </c>
      <c r="B65" s="2">
        <v>8724.5</v>
      </c>
      <c r="C65" s="2">
        <v>8722.9</v>
      </c>
      <c r="D65" s="2">
        <v>8729.4</v>
      </c>
      <c r="E65" s="2">
        <v>8656.2000000000007</v>
      </c>
      <c r="F65" t="s">
        <v>87</v>
      </c>
      <c r="G65" s="3">
        <v>2.0000000000000001E-4</v>
      </c>
      <c r="H65" s="6">
        <f t="shared" si="2"/>
        <v>1.8342523701986302E-4</v>
      </c>
      <c r="I65" s="6">
        <f t="shared" si="3"/>
        <v>6.0984758057799288E-3</v>
      </c>
      <c r="J65" s="7">
        <f t="shared" si="0"/>
        <v>840510000</v>
      </c>
      <c r="K65" s="7">
        <f t="shared" si="4"/>
        <v>850483000</v>
      </c>
      <c r="L65" s="8" cm="1">
        <f t="array" ref="L65">IFERROR(MAX(_xlfn._xlws.FILTER(VIX_clean!$A$2:$A$152,(VIX_clean!$A$2:$A$152&lt;A65)*ISNUMBER(VIX_clean!$B$2:$B$152))),"")</f>
        <v>46204</v>
      </c>
      <c r="M65" s="10">
        <f>IF(L65="","",_xlfn.XLOOKUP(L65,VIX_clean!$A$2:$A$152,VIX_clean!$B$2:$B$152,""))</f>
        <v>16.59</v>
      </c>
      <c r="N65" s="10" t="str">
        <f t="shared" si="1"/>
        <v>OK</v>
      </c>
    </row>
    <row r="66" spans="1:14" ht="17" x14ac:dyDescent="0.25">
      <c r="A66" s="1">
        <v>46206</v>
      </c>
      <c r="B66" s="2">
        <v>8844.4</v>
      </c>
      <c r="C66" s="2">
        <v>8724.5</v>
      </c>
      <c r="D66" s="2">
        <v>8853.7999999999993</v>
      </c>
      <c r="E66" s="2">
        <v>8724.5</v>
      </c>
      <c r="F66" t="s">
        <v>86</v>
      </c>
      <c r="G66" s="3">
        <v>1.37E-2</v>
      </c>
      <c r="H66" s="6">
        <f t="shared" si="2"/>
        <v>1.3742907903031565E-2</v>
      </c>
      <c r="I66" s="6">
        <f t="shared" si="3"/>
        <v>6.3106187556313618E-3</v>
      </c>
      <c r="J66" s="7">
        <f t="shared" si="0"/>
        <v>605970000</v>
      </c>
      <c r="K66" s="7">
        <f t="shared" si="4"/>
        <v>847011500</v>
      </c>
      <c r="L66" s="8" cm="1">
        <f t="array" ref="L66">IFERROR(MAX(_xlfn._xlws.FILTER(VIX_clean!$A$2:$A$152,(VIX_clean!$A$2:$A$152&lt;A66)*ISNUMBER(VIX_clean!$B$2:$B$152))),"")</f>
        <v>46205</v>
      </c>
      <c r="M66" s="10">
        <f>IF(L66="","",_xlfn.XLOOKUP(L66,VIX_clean!$A$2:$A$152,VIX_clean!$B$2:$B$152,""))</f>
        <v>16.149999999999999</v>
      </c>
      <c r="N66" s="10" t="str">
        <f t="shared" si="1"/>
        <v>OK</v>
      </c>
    </row>
    <row r="67" spans="1:14" ht="17" x14ac:dyDescent="0.25">
      <c r="A67" s="1">
        <v>46209</v>
      </c>
      <c r="B67" s="2">
        <v>8831</v>
      </c>
      <c r="C67" s="2">
        <v>8844.4</v>
      </c>
      <c r="D67" s="2">
        <v>8856.7999999999993</v>
      </c>
      <c r="E67" s="2">
        <v>8817.5</v>
      </c>
      <c r="F67" t="s">
        <v>85</v>
      </c>
      <c r="G67" s="3">
        <v>-1.5E-3</v>
      </c>
      <c r="H67" s="6">
        <f t="shared" si="2"/>
        <v>-1.515082990366734E-3</v>
      </c>
      <c r="I67" s="6">
        <f t="shared" si="3"/>
        <v>6.3092016494222776E-3</v>
      </c>
      <c r="J67" s="7">
        <f t="shared" ref="J67:J130" si="5">VALUE(LEFT(F67,LEN(F67)-1))*IF(RIGHT(F67,1)="B",1000000000,1000000)</f>
        <v>553010000</v>
      </c>
      <c r="K67" s="7">
        <f t="shared" si="4"/>
        <v>843843500</v>
      </c>
      <c r="L67" s="8" cm="1">
        <f t="array" ref="L67">IFERROR(MAX(_xlfn._xlws.FILTER(VIX_clean!$A$2:$A$152,(VIX_clean!$A$2:$A$152&lt;A67)*ISNUMBER(VIX_clean!$B$2:$B$152))),"")</f>
        <v>46206</v>
      </c>
      <c r="M67" s="10">
        <f>IF(L67="","",_xlfn.XLOOKUP(L67,VIX_clean!$A$2:$A$152,VIX_clean!$B$2:$B$152,""))</f>
        <v>15.81</v>
      </c>
      <c r="N67" s="10" t="str">
        <f t="shared" ref="N67:N130" si="6">IF(L67="","Missing",IF(A67-L67&gt;5,"Stale","OK"))</f>
        <v>OK</v>
      </c>
    </row>
    <row r="68" spans="1:14" ht="17" x14ac:dyDescent="0.25">
      <c r="A68" s="1">
        <v>46210</v>
      </c>
      <c r="B68" s="2">
        <v>8803.9</v>
      </c>
      <c r="C68" s="2">
        <v>8831</v>
      </c>
      <c r="D68" s="2">
        <v>8843.2999999999993</v>
      </c>
      <c r="E68" s="2">
        <v>8786.9</v>
      </c>
      <c r="F68" t="s">
        <v>84</v>
      </c>
      <c r="G68" s="3">
        <v>-3.0999999999999999E-3</v>
      </c>
      <c r="H68" s="6">
        <f t="shared" ref="H68:H131" si="7">(B68/B67)-1</f>
        <v>-3.0687351375835448E-3</v>
      </c>
      <c r="I68" s="6">
        <f t="shared" si="3"/>
        <v>6.0792236967915783E-3</v>
      </c>
      <c r="J68" s="7">
        <f t="shared" si="5"/>
        <v>702630000</v>
      </c>
      <c r="K68" s="7">
        <f t="shared" si="4"/>
        <v>834929000</v>
      </c>
      <c r="L68" s="8" cm="1">
        <f t="array" ref="L68">IFERROR(MAX(_xlfn._xlws.FILTER(VIX_clean!$A$2:$A$152,(VIX_clean!$A$2:$A$152&lt;A68)*ISNUMBER(VIX_clean!$B$2:$B$152))),"")</f>
        <v>46209</v>
      </c>
      <c r="M68" s="10">
        <f>IF(L68="","",_xlfn.XLOOKUP(L68,VIX_clean!$A$2:$A$152,VIX_clean!$B$2:$B$152,""))</f>
        <v>15.57</v>
      </c>
      <c r="N68" s="10" t="str">
        <f t="shared" si="6"/>
        <v>OK</v>
      </c>
    </row>
    <row r="69" spans="1:14" ht="17" x14ac:dyDescent="0.25">
      <c r="A69" s="1">
        <v>46211</v>
      </c>
      <c r="B69" s="2">
        <v>8785.1</v>
      </c>
      <c r="C69" s="2">
        <v>8803.9</v>
      </c>
      <c r="D69" s="2">
        <v>8803.9</v>
      </c>
      <c r="E69" s="2">
        <v>8676.7000000000007</v>
      </c>
      <c r="F69" t="s">
        <v>83</v>
      </c>
      <c r="G69" s="3">
        <v>-2.0999999999999999E-3</v>
      </c>
      <c r="H69" s="6">
        <f t="shared" si="7"/>
        <v>-2.1354172582604969E-3</v>
      </c>
      <c r="I69" s="6">
        <f t="shared" si="3"/>
        <v>5.9245226480318606E-3</v>
      </c>
      <c r="J69" s="7">
        <f t="shared" si="5"/>
        <v>929400000</v>
      </c>
      <c r="K69" s="7">
        <f t="shared" si="4"/>
        <v>840679500</v>
      </c>
      <c r="L69" s="8" cm="1">
        <f t="array" ref="L69">IFERROR(MAX(_xlfn._xlws.FILTER(VIX_clean!$A$2:$A$152,(VIX_clean!$A$2:$A$152&lt;A69)*ISNUMBER(VIX_clean!$B$2:$B$152))),"")</f>
        <v>46210</v>
      </c>
      <c r="M69" s="10">
        <f>IF(L69="","",_xlfn.XLOOKUP(L69,VIX_clean!$A$2:$A$152,VIX_clean!$B$2:$B$152,""))</f>
        <v>16.13</v>
      </c>
      <c r="N69" s="10" t="str">
        <f t="shared" si="6"/>
        <v>OK</v>
      </c>
    </row>
    <row r="70" spans="1:14" ht="17" x14ac:dyDescent="0.25">
      <c r="A70" s="1">
        <v>46212</v>
      </c>
      <c r="B70" s="2">
        <v>8762.5</v>
      </c>
      <c r="C70" s="2">
        <v>8785.1</v>
      </c>
      <c r="D70" s="2">
        <v>8785.1</v>
      </c>
      <c r="E70" s="2">
        <v>8700.5</v>
      </c>
      <c r="F70" t="s">
        <v>82</v>
      </c>
      <c r="G70" s="3">
        <v>-2.5999999999999999E-3</v>
      </c>
      <c r="H70" s="6">
        <f t="shared" si="7"/>
        <v>-2.5725375920593319E-3</v>
      </c>
      <c r="I70" s="6">
        <f t="shared" si="3"/>
        <v>5.4602399597191925E-3</v>
      </c>
      <c r="J70" s="7">
        <f t="shared" si="5"/>
        <v>689020000</v>
      </c>
      <c r="K70" s="7">
        <f t="shared" si="4"/>
        <v>832168000</v>
      </c>
      <c r="L70" s="8" cm="1">
        <f t="array" ref="L70">IFERROR(MAX(_xlfn._xlws.FILTER(VIX_clean!$A$2:$A$152,(VIX_clean!$A$2:$A$152&lt;A70)*ISNUMBER(VIX_clean!$B$2:$B$152))),"")</f>
        <v>46211</v>
      </c>
      <c r="M70" s="10">
        <f>IF(L70="","",_xlfn.XLOOKUP(L70,VIX_clean!$A$2:$A$152,VIX_clean!$B$2:$B$152,""))</f>
        <v>16.899999999999999</v>
      </c>
      <c r="N70" s="10" t="str">
        <f t="shared" si="6"/>
        <v>OK</v>
      </c>
    </row>
    <row r="71" spans="1:14" ht="17" x14ac:dyDescent="0.25">
      <c r="A71" s="1">
        <v>46213</v>
      </c>
      <c r="B71" s="2">
        <v>8806</v>
      </c>
      <c r="C71" s="2">
        <v>8762.5</v>
      </c>
      <c r="D71" s="2">
        <v>8821.6</v>
      </c>
      <c r="E71" s="2">
        <v>8748.6</v>
      </c>
      <c r="F71" t="s">
        <v>81</v>
      </c>
      <c r="G71" s="3">
        <v>5.0000000000000001E-3</v>
      </c>
      <c r="H71" s="6">
        <f t="shared" si="7"/>
        <v>4.9643366619116502E-3</v>
      </c>
      <c r="I71" s="6">
        <f t="shared" si="3"/>
        <v>5.6430280637875833E-3</v>
      </c>
      <c r="J71" s="7">
        <f t="shared" si="5"/>
        <v>572930000</v>
      </c>
      <c r="K71" s="7">
        <f t="shared" si="4"/>
        <v>826007500</v>
      </c>
      <c r="L71" s="8" cm="1">
        <f t="array" ref="L71">IFERROR(MAX(_xlfn._xlws.FILTER(VIX_clean!$A$2:$A$152,(VIX_clean!$A$2:$A$152&lt;A71)*ISNUMBER(VIX_clean!$B$2:$B$152))),"")</f>
        <v>46212</v>
      </c>
      <c r="M71" s="10">
        <f>IF(L71="","",_xlfn.XLOOKUP(L71,VIX_clean!$A$2:$A$152,VIX_clean!$B$2:$B$152,""))</f>
        <v>15.84</v>
      </c>
      <c r="N71" s="10" t="str">
        <f t="shared" si="6"/>
        <v>OK</v>
      </c>
    </row>
    <row r="72" spans="1:14" ht="17" x14ac:dyDescent="0.25">
      <c r="A72" s="1">
        <v>46216</v>
      </c>
      <c r="B72" s="2">
        <v>8808.5</v>
      </c>
      <c r="C72" s="2">
        <v>8806</v>
      </c>
      <c r="D72" s="2">
        <v>8823.2000000000007</v>
      </c>
      <c r="E72" s="2">
        <v>8769.7999999999993</v>
      </c>
      <c r="F72" t="s">
        <v>80</v>
      </c>
      <c r="G72" s="3">
        <v>2.9999999999999997E-4</v>
      </c>
      <c r="H72" s="6">
        <f t="shared" si="7"/>
        <v>2.8389734272082912E-4</v>
      </c>
      <c r="I72" s="6">
        <f t="shared" si="3"/>
        <v>5.5658155471713516E-3</v>
      </c>
      <c r="J72" s="7">
        <f t="shared" si="5"/>
        <v>588650000</v>
      </c>
      <c r="K72" s="7">
        <f t="shared" si="4"/>
        <v>808515500</v>
      </c>
      <c r="L72" s="8" cm="1">
        <f t="array" ref="L72">IFERROR(MAX(_xlfn._xlws.FILTER(VIX_clean!$A$2:$A$152,(VIX_clean!$A$2:$A$152&lt;A72)*ISNUMBER(VIX_clean!$B$2:$B$152))),"")</f>
        <v>46213</v>
      </c>
      <c r="M72" s="10">
        <f>IF(L72="","",_xlfn.XLOOKUP(L72,VIX_clean!$A$2:$A$152,VIX_clean!$B$2:$B$152,""))</f>
        <v>15.03</v>
      </c>
      <c r="N72" s="10" t="str">
        <f t="shared" si="6"/>
        <v>OK</v>
      </c>
    </row>
    <row r="73" spans="1:14" ht="17" x14ac:dyDescent="0.25">
      <c r="A73" s="1">
        <v>46217</v>
      </c>
      <c r="B73" s="2">
        <v>8808.5</v>
      </c>
      <c r="C73" s="2">
        <v>8808.5</v>
      </c>
      <c r="D73" s="2">
        <v>8808.5</v>
      </c>
      <c r="E73" s="2">
        <v>8758.6</v>
      </c>
      <c r="F73" t="s">
        <v>79</v>
      </c>
      <c r="G73" s="3">
        <v>0</v>
      </c>
      <c r="H73" s="6">
        <f t="shared" si="7"/>
        <v>0</v>
      </c>
      <c r="I73" s="6">
        <f t="shared" si="3"/>
        <v>5.5281318728202227E-3</v>
      </c>
      <c r="J73" s="7">
        <f t="shared" si="5"/>
        <v>576720000</v>
      </c>
      <c r="K73" s="7">
        <f t="shared" si="4"/>
        <v>801127000</v>
      </c>
      <c r="L73" s="8" cm="1">
        <f t="array" ref="L73">IFERROR(MAX(_xlfn._xlws.FILTER(VIX_clean!$A$2:$A$152,(VIX_clean!$A$2:$A$152&lt;A73)*ISNUMBER(VIX_clean!$B$2:$B$152))),"")</f>
        <v>46216</v>
      </c>
      <c r="M73" s="10">
        <f>IF(L73="","",_xlfn.XLOOKUP(L73,VIX_clean!$A$2:$A$152,VIX_clean!$B$2:$B$152,""))</f>
        <v>17.16</v>
      </c>
      <c r="N73" s="10" t="str">
        <f t="shared" si="6"/>
        <v>OK</v>
      </c>
    </row>
    <row r="74" spans="1:14" ht="17" x14ac:dyDescent="0.25">
      <c r="A74" s="1">
        <v>46218</v>
      </c>
      <c r="B74" s="2">
        <v>8841.1</v>
      </c>
      <c r="C74" s="2">
        <v>8808.5</v>
      </c>
      <c r="D74" s="2">
        <v>8872.6</v>
      </c>
      <c r="E74" s="2">
        <v>8808.5</v>
      </c>
      <c r="F74" t="s">
        <v>78</v>
      </c>
      <c r="G74" s="3">
        <v>3.7000000000000002E-3</v>
      </c>
      <c r="H74" s="6">
        <f t="shared" si="7"/>
        <v>3.7009706533461806E-3</v>
      </c>
      <c r="I74" s="6">
        <f t="shared" si="3"/>
        <v>5.2395538941427929E-3</v>
      </c>
      <c r="J74" s="7">
        <f t="shared" si="5"/>
        <v>586770000</v>
      </c>
      <c r="K74" s="7">
        <f t="shared" si="4"/>
        <v>795738000</v>
      </c>
      <c r="L74" s="8" cm="1">
        <f t="array" ref="L74">IFERROR(MAX(_xlfn._xlws.FILTER(VIX_clean!$A$2:$A$152,(VIX_clean!$A$2:$A$152&lt;A74)*ISNUMBER(VIX_clean!$B$2:$B$152))),"")</f>
        <v>46217</v>
      </c>
      <c r="M74" s="10">
        <f>IF(L74="","",_xlfn.XLOOKUP(L74,VIX_clean!$A$2:$A$152,VIX_clean!$B$2:$B$152,""))</f>
        <v>16.5</v>
      </c>
      <c r="N74" s="10" t="str">
        <f t="shared" si="6"/>
        <v>OK</v>
      </c>
    </row>
    <row r="75" spans="1:14" ht="17" x14ac:dyDescent="0.25">
      <c r="A75" s="1">
        <v>46219</v>
      </c>
      <c r="B75" s="2">
        <v>8840.7000000000007</v>
      </c>
      <c r="C75" s="2">
        <v>8841.1</v>
      </c>
      <c r="D75" s="2">
        <v>8856.2000000000007</v>
      </c>
      <c r="E75" s="2">
        <v>8808.1</v>
      </c>
      <c r="F75" t="s">
        <v>77</v>
      </c>
      <c r="G75" s="3">
        <v>0</v>
      </c>
      <c r="H75" s="6">
        <f t="shared" si="7"/>
        <v>-4.5243238963488253E-5</v>
      </c>
      <c r="I75" s="6">
        <f t="shared" si="3"/>
        <v>5.2351587683408972E-3</v>
      </c>
      <c r="J75" s="7">
        <f t="shared" si="5"/>
        <v>611170000</v>
      </c>
      <c r="K75" s="7">
        <f t="shared" si="4"/>
        <v>786104000</v>
      </c>
      <c r="L75" s="8" cm="1">
        <f t="array" ref="L75">IFERROR(MAX(_xlfn._xlws.FILTER(VIX_clean!$A$2:$A$152,(VIX_clean!$A$2:$A$152&lt;A75)*ISNUMBER(VIX_clean!$B$2:$B$152))),"")</f>
        <v>46218</v>
      </c>
      <c r="M75" s="10">
        <f>IF(L75="","",_xlfn.XLOOKUP(L75,VIX_clean!$A$2:$A$152,VIX_clean!$B$2:$B$152,""))</f>
        <v>15.67</v>
      </c>
      <c r="N75" s="10" t="str">
        <f t="shared" si="6"/>
        <v>OK</v>
      </c>
    </row>
    <row r="76" spans="1:14" ht="17" x14ac:dyDescent="0.25">
      <c r="A76" s="1">
        <v>46220</v>
      </c>
      <c r="B76" s="2">
        <v>8796.7000000000007</v>
      </c>
      <c r="C76" s="2">
        <v>8840.7000000000007</v>
      </c>
      <c r="D76" s="2">
        <v>8840.7000000000007</v>
      </c>
      <c r="E76" s="2">
        <v>8758.1</v>
      </c>
      <c r="F76" t="s">
        <v>76</v>
      </c>
      <c r="G76" s="3">
        <v>-5.0000000000000001E-3</v>
      </c>
      <c r="H76" s="6">
        <f t="shared" si="7"/>
        <v>-4.976981460744101E-3</v>
      </c>
      <c r="I76" s="6">
        <f t="shared" si="3"/>
        <v>5.1176131115330042E-3</v>
      </c>
      <c r="J76" s="7">
        <f t="shared" si="5"/>
        <v>674960000</v>
      </c>
      <c r="K76" s="7">
        <f t="shared" si="4"/>
        <v>722852000</v>
      </c>
      <c r="L76" s="8" cm="1">
        <f t="array" ref="L76">IFERROR(MAX(_xlfn._xlws.FILTER(VIX_clean!$A$2:$A$152,(VIX_clean!$A$2:$A$152&lt;A76)*ISNUMBER(VIX_clean!$B$2:$B$152))),"")</f>
        <v>46219</v>
      </c>
      <c r="M76" s="10">
        <f>IF(L76="","",_xlfn.XLOOKUP(L76,VIX_clean!$A$2:$A$152,VIX_clean!$B$2:$B$152,""))</f>
        <v>16.73</v>
      </c>
      <c r="N76" s="10" t="str">
        <f t="shared" si="6"/>
        <v>OK</v>
      </c>
    </row>
    <row r="77" spans="1:14" ht="17" x14ac:dyDescent="0.25">
      <c r="A77" s="1">
        <v>46223</v>
      </c>
      <c r="B77" s="2">
        <v>8791.2999999999993</v>
      </c>
      <c r="C77" s="2">
        <v>8796.7000000000007</v>
      </c>
      <c r="D77" s="2">
        <v>8836.2000000000007</v>
      </c>
      <c r="E77" s="2">
        <v>8791.2999999999993</v>
      </c>
      <c r="F77" t="s">
        <v>75</v>
      </c>
      <c r="G77" s="3">
        <v>-5.9999999999999995E-4</v>
      </c>
      <c r="H77" s="6">
        <f t="shared" si="7"/>
        <v>-6.1386656359785352E-4</v>
      </c>
      <c r="I77" s="6">
        <f t="shared" si="3"/>
        <v>4.9270443506008402E-3</v>
      </c>
      <c r="J77" s="7">
        <f t="shared" si="5"/>
        <v>573040000</v>
      </c>
      <c r="K77" s="7">
        <f t="shared" si="4"/>
        <v>717896500</v>
      </c>
      <c r="L77" s="8" cm="1">
        <f t="array" ref="L77">IFERROR(MAX(_xlfn._xlws.FILTER(VIX_clean!$A$2:$A$152,(VIX_clean!$A$2:$A$152&lt;A77)*ISNUMBER(VIX_clean!$B$2:$B$152))),"")</f>
        <v>46220</v>
      </c>
      <c r="M77" s="10">
        <f>IF(L77="","",_xlfn.XLOOKUP(L77,VIX_clean!$A$2:$A$152,VIX_clean!$B$2:$B$152,""))</f>
        <v>18.77</v>
      </c>
      <c r="N77" s="10" t="str">
        <f t="shared" si="6"/>
        <v>OK</v>
      </c>
    </row>
    <row r="78" spans="1:14" ht="17" x14ac:dyDescent="0.25">
      <c r="A78" s="1">
        <v>46224</v>
      </c>
      <c r="B78" s="2">
        <v>8793.2999999999993</v>
      </c>
      <c r="C78" s="2">
        <v>8791.2999999999993</v>
      </c>
      <c r="D78" s="2">
        <v>8803.2999999999993</v>
      </c>
      <c r="E78" s="2">
        <v>8733</v>
      </c>
      <c r="F78" t="s">
        <v>74</v>
      </c>
      <c r="G78" s="3">
        <v>2.0000000000000001E-4</v>
      </c>
      <c r="H78" s="6">
        <f t="shared" si="7"/>
        <v>2.2749763971208203E-4</v>
      </c>
      <c r="I78" s="6">
        <f t="shared" si="3"/>
        <v>4.5627363036849769E-3</v>
      </c>
      <c r="J78" s="7">
        <f t="shared" si="5"/>
        <v>669470000</v>
      </c>
      <c r="K78" s="7">
        <f t="shared" si="4"/>
        <v>711923000</v>
      </c>
      <c r="L78" s="8" cm="1">
        <f t="array" ref="L78">IFERROR(MAX(_xlfn._xlws.FILTER(VIX_clean!$A$2:$A$152,(VIX_clean!$A$2:$A$152&lt;A78)*ISNUMBER(VIX_clean!$B$2:$B$152))),"")</f>
        <v>46223</v>
      </c>
      <c r="M78" s="10">
        <f>IF(L78="","",_xlfn.XLOOKUP(L78,VIX_clean!$A$2:$A$152,VIX_clean!$B$2:$B$152,""))</f>
        <v>18.649999999999999</v>
      </c>
      <c r="N78" s="10" t="str">
        <f t="shared" si="6"/>
        <v>OK</v>
      </c>
    </row>
    <row r="79" spans="1:14" ht="17" x14ac:dyDescent="0.25">
      <c r="A79" s="1">
        <v>46225</v>
      </c>
      <c r="B79" s="2">
        <v>8823</v>
      </c>
      <c r="C79" s="2">
        <v>8793.2999999999993</v>
      </c>
      <c r="D79" s="2">
        <v>8841.6</v>
      </c>
      <c r="E79" s="2">
        <v>8793.2999999999993</v>
      </c>
      <c r="F79" t="s">
        <v>73</v>
      </c>
      <c r="G79" s="3">
        <v>3.3999999999999998E-3</v>
      </c>
      <c r="H79" s="6">
        <f t="shared" si="7"/>
        <v>3.3775715601651601E-3</v>
      </c>
      <c r="I79" s="6">
        <f t="shared" si="3"/>
        <v>4.6206602804714078E-3</v>
      </c>
      <c r="J79" s="7">
        <f t="shared" si="5"/>
        <v>648790000</v>
      </c>
      <c r="K79" s="7">
        <f t="shared" si="4"/>
        <v>698810500</v>
      </c>
      <c r="L79" s="8" cm="1">
        <f t="array" ref="L79">IFERROR(MAX(_xlfn._xlws.FILTER(VIX_clean!$A$2:$A$152,(VIX_clean!$A$2:$A$152&lt;A79)*ISNUMBER(VIX_clean!$B$2:$B$152))),"")</f>
        <v>46224</v>
      </c>
      <c r="M79" s="10">
        <f>IF(L79="","",_xlfn.XLOOKUP(L79,VIX_clean!$A$2:$A$152,VIX_clean!$B$2:$B$152,""))</f>
        <v>17.05</v>
      </c>
      <c r="N79" s="10" t="str">
        <f t="shared" si="6"/>
        <v>OK</v>
      </c>
    </row>
    <row r="80" spans="1:14" ht="17" x14ac:dyDescent="0.25">
      <c r="A80" s="1">
        <v>46226</v>
      </c>
      <c r="B80" s="2">
        <v>8839</v>
      </c>
      <c r="C80" s="2">
        <v>8823</v>
      </c>
      <c r="D80" s="2">
        <v>8926.2999999999993</v>
      </c>
      <c r="E80" s="2">
        <v>8823</v>
      </c>
      <c r="F80" t="s">
        <v>72</v>
      </c>
      <c r="G80" s="3">
        <v>1.8E-3</v>
      </c>
      <c r="H80" s="6">
        <f t="shared" si="7"/>
        <v>1.8134421398616762E-3</v>
      </c>
      <c r="I80" s="6">
        <f t="shared" si="3"/>
        <v>2.789928552097734E-3</v>
      </c>
      <c r="J80" s="7">
        <f t="shared" si="5"/>
        <v>705130000</v>
      </c>
      <c r="K80" s="7">
        <f t="shared" si="4"/>
        <v>688588000</v>
      </c>
      <c r="L80" s="8" cm="1">
        <f t="array" ref="L80">IFERROR(MAX(_xlfn._xlws.FILTER(VIX_clean!$A$2:$A$152,(VIX_clean!$A$2:$A$152&lt;A80)*ISNUMBER(VIX_clean!$B$2:$B$152))),"")</f>
        <v>46225</v>
      </c>
      <c r="M80" s="10">
        <f>IF(L80="","",_xlfn.XLOOKUP(L80,VIX_clean!$A$2:$A$152,VIX_clean!$B$2:$B$152,""))</f>
        <v>16.64</v>
      </c>
      <c r="N80" s="10" t="str">
        <f t="shared" si="6"/>
        <v>OK</v>
      </c>
    </row>
    <row r="81" spans="1:14" ht="17" x14ac:dyDescent="0.25">
      <c r="A81" s="1">
        <v>46227</v>
      </c>
      <c r="B81" s="2">
        <v>8772.2999999999993</v>
      </c>
      <c r="C81" s="2">
        <v>8839</v>
      </c>
      <c r="D81" s="2">
        <v>8839</v>
      </c>
      <c r="E81" s="2">
        <v>8740.5</v>
      </c>
      <c r="F81" t="s">
        <v>71</v>
      </c>
      <c r="G81" s="3">
        <v>-7.4999999999999997E-3</v>
      </c>
      <c r="H81" s="6">
        <f t="shared" si="7"/>
        <v>-7.5461025002828697E-3</v>
      </c>
      <c r="I81" s="6">
        <f t="shared" ref="I81:I144" si="8">_xlfn.STDEV.S(H68:H81)</f>
        <v>3.4278902344945378E-3</v>
      </c>
      <c r="J81" s="7">
        <f t="shared" si="5"/>
        <v>684810000</v>
      </c>
      <c r="K81" s="7">
        <f t="shared" si="4"/>
        <v>682165000</v>
      </c>
      <c r="L81" s="8" cm="1">
        <f t="array" ref="L81">IFERROR(MAX(_xlfn._xlws.FILTER(VIX_clean!$A$2:$A$152,(VIX_clean!$A$2:$A$152&lt;A81)*ISNUMBER(VIX_clean!$B$2:$B$152))),"")</f>
        <v>46226</v>
      </c>
      <c r="M81" s="10">
        <f>IF(L81="","",_xlfn.XLOOKUP(L81,VIX_clean!$A$2:$A$152,VIX_clean!$B$2:$B$152,""))</f>
        <v>18.7</v>
      </c>
      <c r="N81" s="10" t="str">
        <f t="shared" si="6"/>
        <v>OK</v>
      </c>
    </row>
    <row r="82" spans="1:14" ht="17" x14ac:dyDescent="0.25">
      <c r="A82" s="1">
        <v>46230</v>
      </c>
      <c r="B82" s="2">
        <v>8894</v>
      </c>
      <c r="C82" s="2">
        <v>8772.2999999999993</v>
      </c>
      <c r="D82" s="2">
        <v>8894</v>
      </c>
      <c r="E82" s="2">
        <v>8772.2999999999993</v>
      </c>
      <c r="F82" t="s">
        <v>70</v>
      </c>
      <c r="G82" s="3">
        <v>1.3899999999999999E-2</v>
      </c>
      <c r="H82" s="6">
        <f t="shared" si="7"/>
        <v>1.3873214550345958E-2</v>
      </c>
      <c r="I82" s="6">
        <f t="shared" si="8"/>
        <v>5.0478853063356125E-3</v>
      </c>
      <c r="J82" s="7">
        <f t="shared" si="5"/>
        <v>552360000</v>
      </c>
      <c r="K82" s="7">
        <f t="shared" si="4"/>
        <v>673854000</v>
      </c>
      <c r="L82" s="8" cm="1">
        <f t="array" ref="L82">IFERROR(MAX(_xlfn._xlws.FILTER(VIX_clean!$A$2:$A$152,(VIX_clean!$A$2:$A$152&lt;A82)*ISNUMBER(VIX_clean!$B$2:$B$152))),"")</f>
        <v>46227</v>
      </c>
      <c r="M82" s="10">
        <f>IF(L82="","",_xlfn.XLOOKUP(L82,VIX_clean!$A$2:$A$152,VIX_clean!$B$2:$B$152,""))</f>
        <v>18.579999999999998</v>
      </c>
      <c r="N82" s="10" t="str">
        <f t="shared" si="6"/>
        <v>OK</v>
      </c>
    </row>
    <row r="83" spans="1:14" ht="17" x14ac:dyDescent="0.25">
      <c r="A83" s="1">
        <v>46231</v>
      </c>
      <c r="B83" s="2">
        <v>8947.7999999999993</v>
      </c>
      <c r="C83" s="2">
        <v>8894</v>
      </c>
      <c r="D83" s="2">
        <v>8947.7999999999993</v>
      </c>
      <c r="E83" s="2">
        <v>8856.6</v>
      </c>
      <c r="F83" t="s">
        <v>69</v>
      </c>
      <c r="G83" s="3">
        <v>6.0000000000000001E-3</v>
      </c>
      <c r="H83" s="6">
        <f t="shared" si="7"/>
        <v>6.049021812457811E-3</v>
      </c>
      <c r="I83" s="6">
        <f t="shared" si="8"/>
        <v>5.1619817225069141E-3</v>
      </c>
      <c r="J83" s="7">
        <f t="shared" si="5"/>
        <v>657960000</v>
      </c>
      <c r="K83" s="7">
        <f t="shared" si="4"/>
        <v>661467000</v>
      </c>
      <c r="L83" s="8" cm="1">
        <f t="array" ref="L83">IFERROR(MAX(_xlfn._xlws.FILTER(VIX_clean!$A$2:$A$152,(VIX_clean!$A$2:$A$152&lt;A83)*ISNUMBER(VIX_clean!$B$2:$B$152))),"")</f>
        <v>46230</v>
      </c>
      <c r="M83" s="10">
        <f>IF(L83="","",_xlfn.XLOOKUP(L83,VIX_clean!$A$2:$A$152,VIX_clean!$B$2:$B$152,""))</f>
        <v>18.670000000000002</v>
      </c>
      <c r="N83" s="10" t="str">
        <f t="shared" si="6"/>
        <v>OK</v>
      </c>
    </row>
    <row r="84" spans="1:14" ht="17" x14ac:dyDescent="0.25">
      <c r="A84" s="1">
        <v>46232</v>
      </c>
      <c r="B84" s="2">
        <v>9038.6</v>
      </c>
      <c r="C84" s="2">
        <v>8947.7999999999993</v>
      </c>
      <c r="D84" s="2">
        <v>9086.1</v>
      </c>
      <c r="E84" s="2">
        <v>8947.7999999999993</v>
      </c>
      <c r="F84" t="s">
        <v>68</v>
      </c>
      <c r="G84" s="3">
        <v>1.01E-2</v>
      </c>
      <c r="H84" s="6">
        <f t="shared" si="7"/>
        <v>1.0147745814613751E-2</v>
      </c>
      <c r="I84" s="6">
        <f t="shared" si="8"/>
        <v>5.5297661374212135E-3</v>
      </c>
      <c r="J84" s="7">
        <f t="shared" si="5"/>
        <v>781940000</v>
      </c>
      <c r="K84" s="7">
        <f t="shared" si="4"/>
        <v>660262000</v>
      </c>
      <c r="L84" s="8" cm="1">
        <f t="array" ref="L84">IFERROR(MAX(_xlfn._xlws.FILTER(VIX_clean!$A$2:$A$152,(VIX_clean!$A$2:$A$152&lt;A84)*ISNUMBER(VIX_clean!$B$2:$B$152))),"")</f>
        <v>46231</v>
      </c>
      <c r="M84" s="10">
        <f>IF(L84="","",_xlfn.XLOOKUP(L84,VIX_clean!$A$2:$A$152,VIX_clean!$B$2:$B$152,""))</f>
        <v>18.21</v>
      </c>
      <c r="N84" s="10" t="str">
        <f t="shared" si="6"/>
        <v>OK</v>
      </c>
    </row>
    <row r="85" spans="1:14" ht="17" x14ac:dyDescent="0.25">
      <c r="A85" s="1">
        <v>46233</v>
      </c>
      <c r="B85" s="2">
        <v>8967.7000000000007</v>
      </c>
      <c r="C85" s="2">
        <v>9038.6</v>
      </c>
      <c r="D85" s="2">
        <v>9038.6</v>
      </c>
      <c r="E85" s="2">
        <v>8951.2999999999993</v>
      </c>
      <c r="F85" t="s">
        <v>67</v>
      </c>
      <c r="G85" s="3">
        <v>-7.7999999999999996E-3</v>
      </c>
      <c r="H85" s="6">
        <f t="shared" si="7"/>
        <v>-7.8441351536742143E-3</v>
      </c>
      <c r="I85" s="6">
        <f t="shared" si="8"/>
        <v>6.0756531133317514E-3</v>
      </c>
      <c r="J85" s="7">
        <f t="shared" si="5"/>
        <v>693820000</v>
      </c>
      <c r="K85" s="7">
        <f t="shared" si="4"/>
        <v>652927500</v>
      </c>
      <c r="L85" s="8" cm="1">
        <f t="array" ref="L85">IFERROR(MAX(_xlfn._xlws.FILTER(VIX_clean!$A$2:$A$152,(VIX_clean!$A$2:$A$152&lt;A85)*ISNUMBER(VIX_clean!$B$2:$B$152))),"")</f>
        <v>46232</v>
      </c>
      <c r="M85" s="10">
        <f>IF(L85="","",_xlfn.XLOOKUP(L85,VIX_clean!$A$2:$A$152,VIX_clean!$B$2:$B$152,""))</f>
        <v>20.66</v>
      </c>
      <c r="N85" s="10" t="str">
        <f t="shared" si="6"/>
        <v>OK</v>
      </c>
    </row>
    <row r="86" spans="1:14" ht="17" x14ac:dyDescent="0.25">
      <c r="A86" s="1">
        <v>46234</v>
      </c>
      <c r="B86" s="2">
        <v>8976.7999999999993</v>
      </c>
      <c r="C86" s="2">
        <v>8967.7000000000007</v>
      </c>
      <c r="D86" s="2">
        <v>9059.7999999999993</v>
      </c>
      <c r="E86" s="2">
        <v>8967.7000000000007</v>
      </c>
      <c r="F86" t="s">
        <v>66</v>
      </c>
      <c r="G86" s="3">
        <v>1E-3</v>
      </c>
      <c r="H86" s="6">
        <f t="shared" si="7"/>
        <v>1.0147529466861815E-3</v>
      </c>
      <c r="I86" s="6">
        <f t="shared" si="8"/>
        <v>6.06922403693553E-3</v>
      </c>
      <c r="J86" s="7">
        <f t="shared" si="5"/>
        <v>802100000</v>
      </c>
      <c r="K86" s="7">
        <f t="shared" ref="K86:K149" si="9">AVERAGE(J67:J86)</f>
        <v>662734000</v>
      </c>
      <c r="L86" s="8" cm="1">
        <f t="array" ref="L86">IFERROR(MAX(_xlfn._xlws.FILTER(VIX_clean!$A$2:$A$152,(VIX_clean!$A$2:$A$152&lt;A86)*ISNUMBER(VIX_clean!$B$2:$B$152))),"")</f>
        <v>46233</v>
      </c>
      <c r="M86" s="10">
        <f>IF(L86="","",_xlfn.XLOOKUP(L86,VIX_clean!$A$2:$A$152,VIX_clean!$B$2:$B$152,""))</f>
        <v>17.09</v>
      </c>
      <c r="N86" s="10" t="str">
        <f t="shared" si="6"/>
        <v>OK</v>
      </c>
    </row>
    <row r="87" spans="1:14" ht="17" x14ac:dyDescent="0.25">
      <c r="A87" s="1">
        <v>46237</v>
      </c>
      <c r="B87" s="2">
        <v>9019.2999999999993</v>
      </c>
      <c r="C87" s="2">
        <v>8976.7999999999993</v>
      </c>
      <c r="D87" s="2">
        <v>9019.2999999999993</v>
      </c>
      <c r="E87" s="2">
        <v>8940.4</v>
      </c>
      <c r="F87" t="s">
        <v>65</v>
      </c>
      <c r="G87" s="3">
        <v>4.7000000000000002E-3</v>
      </c>
      <c r="H87" s="6">
        <f t="shared" si="7"/>
        <v>4.7344265217004189E-3</v>
      </c>
      <c r="I87" s="6">
        <f t="shared" si="8"/>
        <v>6.1187233630521616E-3</v>
      </c>
      <c r="J87" s="7">
        <f t="shared" si="5"/>
        <v>510170000</v>
      </c>
      <c r="K87" s="7">
        <f t="shared" si="9"/>
        <v>660592000</v>
      </c>
      <c r="L87" s="8" cm="1">
        <f t="array" ref="L87">IFERROR(MAX(_xlfn._xlws.FILTER(VIX_clean!$A$2:$A$152,(VIX_clean!$A$2:$A$152&lt;A87)*ISNUMBER(VIX_clean!$B$2:$B$152))),"")</f>
        <v>46234</v>
      </c>
      <c r="M87" s="10">
        <f>IF(L87="","",_xlfn.XLOOKUP(L87,VIX_clean!$A$2:$A$152,VIX_clean!$B$2:$B$152,""))</f>
        <v>15.99</v>
      </c>
      <c r="N87" s="10" t="str">
        <f t="shared" si="6"/>
        <v>OK</v>
      </c>
    </row>
    <row r="88" spans="1:14" ht="17" x14ac:dyDescent="0.25">
      <c r="A88" s="1">
        <v>46238</v>
      </c>
      <c r="B88" s="2">
        <v>9145.7999999999993</v>
      </c>
      <c r="C88" s="2">
        <v>9019.2999999999993</v>
      </c>
      <c r="D88" s="2">
        <v>9145.7999999999993</v>
      </c>
      <c r="E88" s="2">
        <v>9019.2999999999993</v>
      </c>
      <c r="F88" t="s">
        <v>64</v>
      </c>
      <c r="G88" s="3">
        <v>1.4E-2</v>
      </c>
      <c r="H88" s="6">
        <f t="shared" si="7"/>
        <v>1.4025478695685933E-2</v>
      </c>
      <c r="I88" s="6">
        <f t="shared" si="8"/>
        <v>6.943940391215723E-3</v>
      </c>
      <c r="J88" s="7">
        <f t="shared" si="5"/>
        <v>705370000</v>
      </c>
      <c r="K88" s="7">
        <f t="shared" si="9"/>
        <v>660729000</v>
      </c>
      <c r="L88" s="8" cm="1">
        <f t="array" ref="L88">IFERROR(MAX(_xlfn._xlws.FILTER(VIX_clean!$A$2:$A$152,(VIX_clean!$A$2:$A$152&lt;A88)*ISNUMBER(VIX_clean!$B$2:$B$152))),"")</f>
        <v>46237</v>
      </c>
      <c r="M88" s="10">
        <f>IF(L88="","",_xlfn.XLOOKUP(L88,VIX_clean!$A$2:$A$152,VIX_clean!$B$2:$B$152,""))</f>
        <v>15.86</v>
      </c>
      <c r="N88" s="10" t="str">
        <f t="shared" si="6"/>
        <v>OK</v>
      </c>
    </row>
    <row r="89" spans="1:14" ht="17" x14ac:dyDescent="0.25">
      <c r="A89" s="1">
        <v>46239</v>
      </c>
      <c r="B89" s="2">
        <v>9227.7999999999993</v>
      </c>
      <c r="C89" s="2">
        <v>9145.7999999999993</v>
      </c>
      <c r="D89" s="2">
        <v>9230</v>
      </c>
      <c r="E89" s="2">
        <v>9138</v>
      </c>
      <c r="F89" t="s">
        <v>63</v>
      </c>
      <c r="G89" s="3">
        <v>8.9999999999999993E-3</v>
      </c>
      <c r="H89" s="6">
        <f t="shared" si="7"/>
        <v>8.9658641124887861E-3</v>
      </c>
      <c r="I89" s="6">
        <f t="shared" si="8"/>
        <v>7.1109318684599776E-3</v>
      </c>
      <c r="J89" s="7">
        <f t="shared" si="5"/>
        <v>708040000</v>
      </c>
      <c r="K89" s="7">
        <f t="shared" si="9"/>
        <v>649661000</v>
      </c>
      <c r="L89" s="8" cm="1">
        <f t="array" ref="L89">IFERROR(MAX(_xlfn._xlws.FILTER(VIX_clean!$A$2:$A$152,(VIX_clean!$A$2:$A$152&lt;A89)*ISNUMBER(VIX_clean!$B$2:$B$152))),"")</f>
        <v>46238</v>
      </c>
      <c r="M89" s="10">
        <f>IF(L89="","",_xlfn.XLOOKUP(L89,VIX_clean!$A$2:$A$152,VIX_clean!$B$2:$B$152,""))</f>
        <v>16.5</v>
      </c>
      <c r="N89" s="10" t="str">
        <f t="shared" si="6"/>
        <v>OK</v>
      </c>
    </row>
    <row r="90" spans="1:14" ht="17" x14ac:dyDescent="0.25">
      <c r="A90" s="1">
        <v>46240</v>
      </c>
      <c r="B90" s="2">
        <v>9271.6</v>
      </c>
      <c r="C90" s="2">
        <v>9227.7999999999993</v>
      </c>
      <c r="D90" s="2">
        <v>9296.7000000000007</v>
      </c>
      <c r="E90" s="2">
        <v>9227.7999999999993</v>
      </c>
      <c r="F90" t="s">
        <v>62</v>
      </c>
      <c r="G90" s="3">
        <v>4.7000000000000002E-3</v>
      </c>
      <c r="H90" s="6">
        <f t="shared" si="7"/>
        <v>4.7465267994539762E-3</v>
      </c>
      <c r="I90" s="6">
        <f t="shared" si="8"/>
        <v>6.7269887199362839E-3</v>
      </c>
      <c r="J90" s="7">
        <f t="shared" si="5"/>
        <v>730500000</v>
      </c>
      <c r="K90" s="7">
        <f t="shared" si="9"/>
        <v>651735000</v>
      </c>
      <c r="L90" s="8" cm="1">
        <f t="array" ref="L90">IFERROR(MAX(_xlfn._xlws.FILTER(VIX_clean!$A$2:$A$152,(VIX_clean!$A$2:$A$152&lt;A90)*ISNUMBER(VIX_clean!$B$2:$B$152))),"")</f>
        <v>46239</v>
      </c>
      <c r="M90" s="10">
        <f>IF(L90="","",_xlfn.XLOOKUP(L90,VIX_clean!$A$2:$A$152,VIX_clean!$B$2:$B$152,""))</f>
        <v>15.81</v>
      </c>
      <c r="N90" s="10" t="str">
        <f t="shared" si="6"/>
        <v>OK</v>
      </c>
    </row>
    <row r="91" spans="1:14" ht="17" x14ac:dyDescent="0.25">
      <c r="A91" s="1">
        <v>46241</v>
      </c>
      <c r="B91" s="2">
        <v>9263.6</v>
      </c>
      <c r="C91" s="2">
        <v>9271.6</v>
      </c>
      <c r="D91" s="2">
        <v>9274.7000000000007</v>
      </c>
      <c r="E91" s="2">
        <v>9216.7000000000007</v>
      </c>
      <c r="F91" t="s">
        <v>61</v>
      </c>
      <c r="G91" s="3">
        <v>-8.9999999999999998E-4</v>
      </c>
      <c r="H91" s="6">
        <f t="shared" si="7"/>
        <v>-8.628499935285916E-4</v>
      </c>
      <c r="I91" s="6">
        <f t="shared" si="8"/>
        <v>6.7398259412639093E-3</v>
      </c>
      <c r="J91" s="7">
        <f t="shared" si="5"/>
        <v>645140000</v>
      </c>
      <c r="K91" s="7">
        <f t="shared" si="9"/>
        <v>655345500</v>
      </c>
      <c r="L91" s="8" cm="1">
        <f t="array" ref="L91">IFERROR(MAX(_xlfn._xlws.FILTER(VIX_clean!$A$2:$A$152,(VIX_clean!$A$2:$A$152&lt;A91)*ISNUMBER(VIX_clean!$B$2:$B$152))),"")</f>
        <v>46240</v>
      </c>
      <c r="M91" s="10">
        <f>IF(L91="","",_xlfn.XLOOKUP(L91,VIX_clean!$A$2:$A$152,VIX_clean!$B$2:$B$152,""))</f>
        <v>15.15</v>
      </c>
      <c r="N91" s="10" t="str">
        <f t="shared" si="6"/>
        <v>OK</v>
      </c>
    </row>
    <row r="92" spans="1:14" ht="17" x14ac:dyDescent="0.25">
      <c r="A92" s="1">
        <v>46244</v>
      </c>
      <c r="B92" s="2">
        <v>9232.6</v>
      </c>
      <c r="C92" s="2">
        <v>9263.6</v>
      </c>
      <c r="D92" s="2">
        <v>9267.2999999999993</v>
      </c>
      <c r="E92" s="2">
        <v>9204.5</v>
      </c>
      <c r="F92" t="s">
        <v>60</v>
      </c>
      <c r="G92" s="3">
        <v>-3.3E-3</v>
      </c>
      <c r="H92" s="6">
        <f t="shared" si="7"/>
        <v>-3.3464311930566648E-3</v>
      </c>
      <c r="I92" s="6">
        <f t="shared" si="8"/>
        <v>6.9486071277796903E-3</v>
      </c>
      <c r="J92" s="7">
        <f t="shared" si="5"/>
        <v>618220000</v>
      </c>
      <c r="K92" s="7">
        <f t="shared" si="9"/>
        <v>656824000</v>
      </c>
      <c r="L92" s="8" cm="1">
        <f t="array" ref="L92">IFERROR(MAX(_xlfn._xlws.FILTER(VIX_clean!$A$2:$A$152,(VIX_clean!$A$2:$A$152&lt;A92)*ISNUMBER(VIX_clean!$B$2:$B$152))),"")</f>
        <v>46241</v>
      </c>
      <c r="M92" s="10">
        <f>IF(L92="","",_xlfn.XLOOKUP(L92,VIX_clean!$A$2:$A$152,VIX_clean!$B$2:$B$152,""))</f>
        <v>14.9</v>
      </c>
      <c r="N92" s="10" t="str">
        <f t="shared" si="6"/>
        <v>OK</v>
      </c>
    </row>
    <row r="93" spans="1:14" ht="17" x14ac:dyDescent="0.25">
      <c r="A93" s="1">
        <v>46245</v>
      </c>
      <c r="B93" s="2">
        <v>9250.6</v>
      </c>
      <c r="C93" s="2">
        <v>9232.6</v>
      </c>
      <c r="D93" s="2">
        <v>9282.9</v>
      </c>
      <c r="E93" s="2">
        <v>9232.6</v>
      </c>
      <c r="F93" t="s">
        <v>59</v>
      </c>
      <c r="G93" s="3">
        <v>1.9E-3</v>
      </c>
      <c r="H93" s="6">
        <f t="shared" si="7"/>
        <v>1.9496133266903026E-3</v>
      </c>
      <c r="I93" s="6">
        <f t="shared" si="8"/>
        <v>6.9611791346778987E-3</v>
      </c>
      <c r="J93" s="7">
        <f t="shared" si="5"/>
        <v>686220000</v>
      </c>
      <c r="K93" s="7">
        <f t="shared" si="9"/>
        <v>662299000</v>
      </c>
      <c r="L93" s="8" cm="1">
        <f t="array" ref="L93">IFERROR(MAX(_xlfn._xlws.FILTER(VIX_clean!$A$2:$A$152,(VIX_clean!$A$2:$A$152&lt;A93)*ISNUMBER(VIX_clean!$B$2:$B$152))),"")</f>
        <v>46244</v>
      </c>
      <c r="M93" s="10">
        <f>IF(L93="","",_xlfn.XLOOKUP(L93,VIX_clean!$A$2:$A$152,VIX_clean!$B$2:$B$152,""))</f>
        <v>15.46</v>
      </c>
      <c r="N93" s="10" t="str">
        <f t="shared" si="6"/>
        <v>OK</v>
      </c>
    </row>
    <row r="94" spans="1:14" ht="17" x14ac:dyDescent="0.25">
      <c r="A94" s="1">
        <v>46246</v>
      </c>
      <c r="B94" s="2">
        <v>9209.4</v>
      </c>
      <c r="C94" s="2">
        <v>9250.6</v>
      </c>
      <c r="D94" s="2">
        <v>9250.6</v>
      </c>
      <c r="E94" s="2">
        <v>9185.5</v>
      </c>
      <c r="F94" t="s">
        <v>58</v>
      </c>
      <c r="G94" s="3">
        <v>-4.4999999999999997E-3</v>
      </c>
      <c r="H94" s="6">
        <f t="shared" si="7"/>
        <v>-4.453765161178791E-3</v>
      </c>
      <c r="I94" s="6">
        <f t="shared" si="8"/>
        <v>7.2664722079589907E-3</v>
      </c>
      <c r="J94" s="7">
        <f t="shared" si="5"/>
        <v>624420000</v>
      </c>
      <c r="K94" s="7">
        <f t="shared" si="9"/>
        <v>664181500</v>
      </c>
      <c r="L94" s="8" cm="1">
        <f t="array" ref="L94">IFERROR(MAX(_xlfn._xlws.FILTER(VIX_clean!$A$2:$A$152,(VIX_clean!$A$2:$A$152&lt;A94)*ISNUMBER(VIX_clean!$B$2:$B$152))),"")</f>
        <v>46245</v>
      </c>
      <c r="M94" s="10">
        <f>IF(L94="","",_xlfn.XLOOKUP(L94,VIX_clean!$A$2:$A$152,VIX_clean!$B$2:$B$152,""))</f>
        <v>15.28</v>
      </c>
      <c r="N94" s="10" t="str">
        <f t="shared" si="6"/>
        <v>OK</v>
      </c>
    </row>
    <row r="95" spans="1:14" ht="17" x14ac:dyDescent="0.25">
      <c r="A95" s="1">
        <v>46247</v>
      </c>
      <c r="B95" s="2">
        <v>9188.5</v>
      </c>
      <c r="C95" s="2">
        <v>9209.4</v>
      </c>
      <c r="D95" s="2">
        <v>9209.4</v>
      </c>
      <c r="E95" s="2">
        <v>9141.2999999999993</v>
      </c>
      <c r="F95" t="s">
        <v>57</v>
      </c>
      <c r="G95" s="3">
        <v>-2.3E-3</v>
      </c>
      <c r="H95" s="6">
        <f t="shared" si="7"/>
        <v>-2.2694203748343522E-3</v>
      </c>
      <c r="I95" s="6">
        <f t="shared" si="8"/>
        <v>6.8015315155452285E-3</v>
      </c>
      <c r="J95" s="7">
        <f t="shared" si="5"/>
        <v>736610000</v>
      </c>
      <c r="K95" s="7">
        <f t="shared" si="9"/>
        <v>670453500</v>
      </c>
      <c r="L95" s="8" cm="1">
        <f t="array" ref="L95">IFERROR(MAX(_xlfn._xlws.FILTER(VIX_clean!$A$2:$A$152,(VIX_clean!$A$2:$A$152&lt;A95)*ISNUMBER(VIX_clean!$B$2:$B$152))),"")</f>
        <v>46246</v>
      </c>
      <c r="M95" s="10">
        <f>IF(L95="","",_xlfn.XLOOKUP(L95,VIX_clean!$A$2:$A$152,VIX_clean!$B$2:$B$152,""))</f>
        <v>14.55</v>
      </c>
      <c r="N95" s="10" t="str">
        <f t="shared" si="6"/>
        <v>OK</v>
      </c>
    </row>
    <row r="96" spans="1:14" ht="17" x14ac:dyDescent="0.25">
      <c r="A96" s="1">
        <v>46248</v>
      </c>
      <c r="B96" s="2">
        <v>9115.2000000000007</v>
      </c>
      <c r="C96" s="2">
        <v>9188.5</v>
      </c>
      <c r="D96" s="2">
        <v>9188.5</v>
      </c>
      <c r="E96" s="2">
        <v>9090.5</v>
      </c>
      <c r="F96" t="s">
        <v>56</v>
      </c>
      <c r="G96" s="3">
        <v>-8.0000000000000002E-3</v>
      </c>
      <c r="H96" s="6">
        <f t="shared" si="7"/>
        <v>-7.9773630081079183E-3</v>
      </c>
      <c r="I96" s="6">
        <f t="shared" si="8"/>
        <v>6.7043497770425137E-3</v>
      </c>
      <c r="J96" s="7">
        <f t="shared" si="5"/>
        <v>670420000</v>
      </c>
      <c r="K96" s="7">
        <f t="shared" si="9"/>
        <v>670226500</v>
      </c>
      <c r="L96" s="8" cm="1">
        <f t="array" ref="L96">IFERROR(MAX(_xlfn._xlws.FILTER(VIX_clean!$A$2:$A$152,(VIX_clean!$A$2:$A$152&lt;A96)*ISNUMBER(VIX_clean!$B$2:$B$152))),"")</f>
        <v>46247</v>
      </c>
      <c r="M96" s="10">
        <f>IF(L96="","",_xlfn.XLOOKUP(L96,VIX_clean!$A$2:$A$152,VIX_clean!$B$2:$B$152,""))</f>
        <v>14.63</v>
      </c>
      <c r="N96" s="10" t="str">
        <f t="shared" si="6"/>
        <v>OK</v>
      </c>
    </row>
    <row r="97" spans="1:14" ht="17" x14ac:dyDescent="0.25">
      <c r="A97" s="1">
        <v>46251</v>
      </c>
      <c r="B97" s="2">
        <v>9073.2000000000007</v>
      </c>
      <c r="C97" s="2">
        <v>9115.2000000000007</v>
      </c>
      <c r="D97" s="2">
        <v>9115.2000000000007</v>
      </c>
      <c r="E97" s="2">
        <v>9065.1</v>
      </c>
      <c r="F97" t="s">
        <v>55</v>
      </c>
      <c r="G97" s="3">
        <v>-4.5999999999999999E-3</v>
      </c>
      <c r="H97" s="6">
        <f t="shared" si="7"/>
        <v>-4.607688256977327E-3</v>
      </c>
      <c r="I97" s="6">
        <f t="shared" si="8"/>
        <v>6.7864823910306722E-3</v>
      </c>
      <c r="J97" s="7">
        <f t="shared" si="5"/>
        <v>739720000</v>
      </c>
      <c r="K97" s="7">
        <f t="shared" si="9"/>
        <v>678560500</v>
      </c>
      <c r="L97" s="8" cm="1">
        <f t="array" ref="L97">IFERROR(MAX(_xlfn._xlws.FILTER(VIX_clean!$A$2:$A$152,(VIX_clean!$A$2:$A$152&lt;A97)*ISNUMBER(VIX_clean!$B$2:$B$152))),"")</f>
        <v>46248</v>
      </c>
      <c r="M97" s="10">
        <f>IF(L97="","",_xlfn.XLOOKUP(L97,VIX_clean!$A$2:$A$152,VIX_clean!$B$2:$B$152,""))</f>
        <v>14.25</v>
      </c>
      <c r="N97" s="10" t="str">
        <f t="shared" si="6"/>
        <v>OK</v>
      </c>
    </row>
    <row r="98" spans="1:14" ht="17" x14ac:dyDescent="0.25">
      <c r="A98" s="1">
        <v>46252</v>
      </c>
      <c r="B98" s="2">
        <v>9070</v>
      </c>
      <c r="C98" s="2">
        <v>9073.2000000000007</v>
      </c>
      <c r="D98" s="2">
        <v>9106.6</v>
      </c>
      <c r="E98" s="2">
        <v>9054.5</v>
      </c>
      <c r="F98" t="s">
        <v>54</v>
      </c>
      <c r="G98" s="3">
        <v>-4.0000000000000002E-4</v>
      </c>
      <c r="H98" s="6">
        <f t="shared" si="7"/>
        <v>-3.5268703434299109E-4</v>
      </c>
      <c r="I98" s="6">
        <f t="shared" si="8"/>
        <v>6.2593896728429495E-3</v>
      </c>
      <c r="J98" s="7">
        <f t="shared" si="5"/>
        <v>815110000</v>
      </c>
      <c r="K98" s="7">
        <f t="shared" si="9"/>
        <v>685842500</v>
      </c>
      <c r="L98" s="8" cm="1">
        <f t="array" ref="L98">IFERROR(MAX(_xlfn._xlws.FILTER(VIX_clean!$A$2:$A$152,(VIX_clean!$A$2:$A$152&lt;A98)*ISNUMBER(VIX_clean!$B$2:$B$152))),"")</f>
        <v>46251</v>
      </c>
      <c r="M98" s="10">
        <f>IF(L98="","",_xlfn.XLOOKUP(L98,VIX_clean!$A$2:$A$152,VIX_clean!$B$2:$B$152,""))</f>
        <v>15.19</v>
      </c>
      <c r="N98" s="10" t="str">
        <f t="shared" si="6"/>
        <v>OK</v>
      </c>
    </row>
    <row r="99" spans="1:14" ht="17" x14ac:dyDescent="0.25">
      <c r="A99" s="1">
        <v>46253</v>
      </c>
      <c r="B99" s="2">
        <v>9053.7999999999993</v>
      </c>
      <c r="C99" s="2">
        <v>9070</v>
      </c>
      <c r="D99" s="2">
        <v>9070</v>
      </c>
      <c r="E99" s="2">
        <v>9019.5</v>
      </c>
      <c r="F99" t="s">
        <v>53</v>
      </c>
      <c r="G99" s="3">
        <v>-1.8E-3</v>
      </c>
      <c r="H99" s="6">
        <f t="shared" si="7"/>
        <v>-1.7861080485116476E-3</v>
      </c>
      <c r="I99" s="6">
        <f t="shared" si="8"/>
        <v>5.8517345792968743E-3</v>
      </c>
      <c r="J99" s="7">
        <f t="shared" si="5"/>
        <v>868510000</v>
      </c>
      <c r="K99" s="7">
        <f t="shared" si="9"/>
        <v>696828500</v>
      </c>
      <c r="L99" s="8" cm="1">
        <f t="array" ref="L99">IFERROR(MAX(_xlfn._xlws.FILTER(VIX_clean!$A$2:$A$152,(VIX_clean!$A$2:$A$152&lt;A99)*ISNUMBER(VIX_clean!$B$2:$B$152))),"")</f>
        <v>46252</v>
      </c>
      <c r="M99" s="10">
        <f>IF(L99="","",_xlfn.XLOOKUP(L99,VIX_clean!$A$2:$A$152,VIX_clean!$B$2:$B$152,""))</f>
        <v>15.84</v>
      </c>
      <c r="N99" s="10" t="str">
        <f t="shared" si="6"/>
        <v>OK</v>
      </c>
    </row>
    <row r="100" spans="1:14" ht="17" x14ac:dyDescent="0.25">
      <c r="A100" s="1">
        <v>46254</v>
      </c>
      <c r="B100" s="2">
        <v>9083.7999999999993</v>
      </c>
      <c r="C100" s="2">
        <v>9053.7999999999993</v>
      </c>
      <c r="D100" s="2">
        <v>9111.2000000000007</v>
      </c>
      <c r="E100" s="2">
        <v>9053.7999999999993</v>
      </c>
      <c r="F100" t="s">
        <v>52</v>
      </c>
      <c r="G100" s="3">
        <v>3.3E-3</v>
      </c>
      <c r="H100" s="6">
        <f t="shared" si="7"/>
        <v>3.3135258123659916E-3</v>
      </c>
      <c r="I100" s="6">
        <f t="shared" si="8"/>
        <v>5.8933914457927538E-3</v>
      </c>
      <c r="J100" s="7">
        <f t="shared" si="5"/>
        <v>974140000</v>
      </c>
      <c r="K100" s="7">
        <f t="shared" si="9"/>
        <v>710279000</v>
      </c>
      <c r="L100" s="8" cm="1">
        <f t="array" ref="L100">IFERROR(MAX(_xlfn._xlws.FILTER(VIX_clean!$A$2:$A$152,(VIX_clean!$A$2:$A$152&lt;A100)*ISNUMBER(VIX_clean!$B$2:$B$152))),"")</f>
        <v>46253</v>
      </c>
      <c r="M100" s="10">
        <f>IF(L100="","",_xlfn.XLOOKUP(L100,VIX_clean!$A$2:$A$152,VIX_clean!$B$2:$B$152,""))</f>
        <v>14.89</v>
      </c>
      <c r="N100" s="10" t="str">
        <f t="shared" si="6"/>
        <v>OK</v>
      </c>
    </row>
    <row r="101" spans="1:14" ht="17" x14ac:dyDescent="0.25">
      <c r="A101" s="1">
        <v>46255</v>
      </c>
      <c r="B101" s="2">
        <v>9058.9</v>
      </c>
      <c r="C101" s="2">
        <v>9083.7999999999993</v>
      </c>
      <c r="D101" s="2">
        <v>9083.7999999999993</v>
      </c>
      <c r="E101" s="2">
        <v>9045</v>
      </c>
      <c r="F101" t="s">
        <v>51</v>
      </c>
      <c r="G101" s="3">
        <v>-2.7000000000000001E-3</v>
      </c>
      <c r="H101" s="6">
        <f t="shared" si="7"/>
        <v>-2.7411435742750179E-3</v>
      </c>
      <c r="I101" s="6">
        <f t="shared" si="8"/>
        <v>5.8541499082857169E-3</v>
      </c>
      <c r="J101" s="7">
        <f t="shared" si="5"/>
        <v>865640000</v>
      </c>
      <c r="K101" s="7">
        <f t="shared" si="9"/>
        <v>719320500</v>
      </c>
      <c r="L101" s="8" cm="1">
        <f t="array" ref="L101">IFERROR(MAX(_xlfn._xlws.FILTER(VIX_clean!$A$2:$A$152,(VIX_clean!$A$2:$A$152&lt;A101)*ISNUMBER(VIX_clean!$B$2:$B$152))),"")</f>
        <v>46254</v>
      </c>
      <c r="M101" s="10">
        <f>IF(L101="","",_xlfn.XLOOKUP(L101,VIX_clean!$A$2:$A$152,VIX_clean!$B$2:$B$152,""))</f>
        <v>16.010000000000002</v>
      </c>
      <c r="N101" s="10" t="str">
        <f t="shared" si="6"/>
        <v>OK</v>
      </c>
    </row>
    <row r="102" spans="1:14" ht="17" x14ac:dyDescent="0.25">
      <c r="A102" s="1">
        <v>46258</v>
      </c>
      <c r="B102" s="2">
        <v>9103.1</v>
      </c>
      <c r="C102" s="2">
        <v>9058.9</v>
      </c>
      <c r="D102" s="2">
        <v>9131.2999999999993</v>
      </c>
      <c r="E102" s="2">
        <v>9058.9</v>
      </c>
      <c r="F102" t="s">
        <v>50</v>
      </c>
      <c r="G102" s="3">
        <v>4.8999999999999998E-3</v>
      </c>
      <c r="H102" s="6">
        <f t="shared" si="7"/>
        <v>4.8791795913412095E-3</v>
      </c>
      <c r="I102" s="6">
        <f t="shared" si="8"/>
        <v>4.5796875118132019E-3</v>
      </c>
      <c r="J102" s="7">
        <f t="shared" si="5"/>
        <v>845480000</v>
      </c>
      <c r="K102" s="7">
        <f t="shared" si="9"/>
        <v>733976500</v>
      </c>
      <c r="L102" s="8" cm="1">
        <f t="array" ref="L102">IFERROR(MAX(_xlfn._xlws.FILTER(VIX_clean!$A$2:$A$152,(VIX_clean!$A$2:$A$152&lt;A102)*ISNUMBER(VIX_clean!$B$2:$B$152))),"")</f>
        <v>46255</v>
      </c>
      <c r="M102" s="10">
        <f>IF(L102="","",_xlfn.XLOOKUP(L102,VIX_clean!$A$2:$A$152,VIX_clean!$B$2:$B$152,""))</f>
        <v>15.13</v>
      </c>
      <c r="N102" s="10" t="str">
        <f t="shared" si="6"/>
        <v>OK</v>
      </c>
    </row>
    <row r="103" spans="1:14" ht="17" x14ac:dyDescent="0.25">
      <c r="A103" s="1">
        <v>46259</v>
      </c>
      <c r="B103" s="2">
        <v>9164.6</v>
      </c>
      <c r="C103" s="2">
        <v>9103.1</v>
      </c>
      <c r="D103" s="2">
        <v>9179.9</v>
      </c>
      <c r="E103" s="2">
        <v>9103.1</v>
      </c>
      <c r="F103" t="s">
        <v>49</v>
      </c>
      <c r="G103" s="3">
        <v>6.7999999999999996E-3</v>
      </c>
      <c r="H103" s="6">
        <f t="shared" si="7"/>
        <v>6.7559402840791094E-3</v>
      </c>
      <c r="I103" s="6">
        <f t="shared" si="8"/>
        <v>4.261897366237547E-3</v>
      </c>
      <c r="J103" s="7">
        <f t="shared" si="5"/>
        <v>846170000</v>
      </c>
      <c r="K103" s="7">
        <f t="shared" si="9"/>
        <v>743387000</v>
      </c>
      <c r="L103" s="8" cm="1">
        <f t="array" ref="L103">IFERROR(MAX(_xlfn._xlws.FILTER(VIX_clean!$A$2:$A$152,(VIX_clean!$A$2:$A$152&lt;A103)*ISNUMBER(VIX_clean!$B$2:$B$152))),"")</f>
        <v>46258</v>
      </c>
      <c r="M103" s="10">
        <f>IF(L103="","",_xlfn.XLOOKUP(L103,VIX_clean!$A$2:$A$152,VIX_clean!$B$2:$B$152,""))</f>
        <v>15.85</v>
      </c>
      <c r="N103" s="10" t="str">
        <f t="shared" si="6"/>
        <v>OK</v>
      </c>
    </row>
    <row r="104" spans="1:14" ht="17" x14ac:dyDescent="0.25">
      <c r="A104" s="1">
        <v>46260</v>
      </c>
      <c r="B104" s="2">
        <v>9127.7999999999993</v>
      </c>
      <c r="C104" s="2">
        <v>9164.6</v>
      </c>
      <c r="D104" s="2">
        <v>9220.6</v>
      </c>
      <c r="E104" s="2">
        <v>9127.7999999999993</v>
      </c>
      <c r="F104" t="s">
        <v>48</v>
      </c>
      <c r="G104" s="3">
        <v>-4.0000000000000001E-3</v>
      </c>
      <c r="H104" s="6">
        <f t="shared" si="7"/>
        <v>-4.0154507561706021E-3</v>
      </c>
      <c r="I104" s="6">
        <f t="shared" si="8"/>
        <v>4.0741889435015784E-3</v>
      </c>
      <c r="J104" s="7">
        <f t="shared" si="5"/>
        <v>856980000</v>
      </c>
      <c r="K104" s="7">
        <f t="shared" si="9"/>
        <v>747139000</v>
      </c>
      <c r="L104" s="8" cm="1">
        <f t="array" ref="L104">IFERROR(MAX(_xlfn._xlws.FILTER(VIX_clean!$A$2:$A$152,(VIX_clean!$A$2:$A$152&lt;A104)*ISNUMBER(VIX_clean!$B$2:$B$152))),"")</f>
        <v>46259</v>
      </c>
      <c r="M104" s="10">
        <f>IF(L104="","",_xlfn.XLOOKUP(L104,VIX_clean!$A$2:$A$152,VIX_clean!$B$2:$B$152,""))</f>
        <v>15.45</v>
      </c>
      <c r="N104" s="10" t="str">
        <f t="shared" si="6"/>
        <v>OK</v>
      </c>
    </row>
    <row r="105" spans="1:14" ht="17" x14ac:dyDescent="0.25">
      <c r="A105" s="1">
        <v>46261</v>
      </c>
      <c r="B105" s="2">
        <v>9038.2000000000007</v>
      </c>
      <c r="C105" s="2">
        <v>9127.7999999999993</v>
      </c>
      <c r="D105" s="2">
        <v>9127.7999999999993</v>
      </c>
      <c r="E105" s="2">
        <v>9028.2999999999993</v>
      </c>
      <c r="F105" t="s">
        <v>47</v>
      </c>
      <c r="G105" s="3">
        <v>-9.7999999999999997E-3</v>
      </c>
      <c r="H105" s="6">
        <f t="shared" si="7"/>
        <v>-9.8161659983784233E-3</v>
      </c>
      <c r="I105" s="6">
        <f t="shared" si="8"/>
        <v>4.6890217411931084E-3</v>
      </c>
      <c r="J105" s="7">
        <f t="shared" si="5"/>
        <v>927680000</v>
      </c>
      <c r="K105" s="7">
        <f t="shared" si="9"/>
        <v>758832000</v>
      </c>
      <c r="L105" s="8" cm="1">
        <f t="array" ref="L105">IFERROR(MAX(_xlfn._xlws.FILTER(VIX_clean!$A$2:$A$152,(VIX_clean!$A$2:$A$152&lt;A105)*ISNUMBER(VIX_clean!$B$2:$B$152))),"")</f>
        <v>46260</v>
      </c>
      <c r="M105" s="10">
        <f>IF(L105="","",_xlfn.XLOOKUP(L105,VIX_clean!$A$2:$A$152,VIX_clean!$B$2:$B$152,""))</f>
        <v>15.21</v>
      </c>
      <c r="N105" s="10" t="str">
        <f t="shared" si="6"/>
        <v>OK</v>
      </c>
    </row>
    <row r="106" spans="1:14" ht="17" x14ac:dyDescent="0.25">
      <c r="A106" s="1">
        <v>46262</v>
      </c>
      <c r="B106" s="2">
        <v>9092.2999999999993</v>
      </c>
      <c r="C106" s="2">
        <v>9038.2000000000007</v>
      </c>
      <c r="D106" s="2">
        <v>9092.2999999999993</v>
      </c>
      <c r="E106" s="2">
        <v>9038.2000000000007</v>
      </c>
      <c r="F106" t="s">
        <v>46</v>
      </c>
      <c r="G106" s="3">
        <v>6.0000000000000001E-3</v>
      </c>
      <c r="H106" s="6">
        <f t="shared" si="7"/>
        <v>5.9857051182756749E-3</v>
      </c>
      <c r="I106" s="6">
        <f t="shared" si="8"/>
        <v>5.0904074925506963E-3</v>
      </c>
      <c r="J106" s="7">
        <f t="shared" si="5"/>
        <v>698760000</v>
      </c>
      <c r="K106" s="7">
        <f t="shared" si="9"/>
        <v>753665000</v>
      </c>
      <c r="L106" s="8" cm="1">
        <f t="array" ref="L106">IFERROR(MAX(_xlfn._xlws.FILTER(VIX_clean!$A$2:$A$152,(VIX_clean!$A$2:$A$152&lt;A106)*ISNUMBER(VIX_clean!$B$2:$B$152))),"")</f>
        <v>46261</v>
      </c>
      <c r="M106" s="10">
        <f>IF(L106="","",_xlfn.XLOOKUP(L106,VIX_clean!$A$2:$A$152,VIX_clean!$B$2:$B$152,""))</f>
        <v>14.51</v>
      </c>
      <c r="N106" s="10" t="str">
        <f t="shared" si="6"/>
        <v>OK</v>
      </c>
    </row>
    <row r="107" spans="1:14" ht="17" x14ac:dyDescent="0.25">
      <c r="A107" s="1">
        <v>46265</v>
      </c>
      <c r="B107" s="2">
        <v>9076</v>
      </c>
      <c r="C107" s="2">
        <v>9092.2999999999993</v>
      </c>
      <c r="D107" s="2">
        <v>9122.7000000000007</v>
      </c>
      <c r="E107" s="2">
        <v>9055.7999999999993</v>
      </c>
      <c r="F107" t="s">
        <v>45</v>
      </c>
      <c r="G107" s="3">
        <v>-1.8E-3</v>
      </c>
      <c r="H107" s="6">
        <f t="shared" si="7"/>
        <v>-1.792725712965848E-3</v>
      </c>
      <c r="I107" s="6">
        <f t="shared" si="8"/>
        <v>5.0167398573907019E-3</v>
      </c>
      <c r="J107" s="7">
        <f t="shared" si="5"/>
        <v>1570000000</v>
      </c>
      <c r="K107" s="7">
        <f t="shared" si="9"/>
        <v>806656500</v>
      </c>
      <c r="L107" s="8" cm="1">
        <f t="array" ref="L107">IFERROR(MAX(_xlfn._xlws.FILTER(VIX_clean!$A$2:$A$152,(VIX_clean!$A$2:$A$152&lt;A107)*ISNUMBER(VIX_clean!$B$2:$B$152))),"")</f>
        <v>46262</v>
      </c>
      <c r="M107" s="10">
        <f>IF(L107="","",_xlfn.XLOOKUP(L107,VIX_clean!$A$2:$A$152,VIX_clean!$B$2:$B$152,""))</f>
        <v>14.43</v>
      </c>
      <c r="N107" s="10" t="str">
        <f t="shared" si="6"/>
        <v>OK</v>
      </c>
    </row>
    <row r="108" spans="1:14" ht="17" x14ac:dyDescent="0.25">
      <c r="A108" s="1">
        <v>46266</v>
      </c>
      <c r="B108" s="2">
        <v>9066.7000000000007</v>
      </c>
      <c r="C108" s="2">
        <v>9076</v>
      </c>
      <c r="D108" s="2">
        <v>9076</v>
      </c>
      <c r="E108" s="2">
        <v>9023.7999999999993</v>
      </c>
      <c r="F108" t="s">
        <v>44</v>
      </c>
      <c r="G108" s="3">
        <v>-1E-3</v>
      </c>
      <c r="H108" s="6">
        <f t="shared" si="7"/>
        <v>-1.0246804759804773E-3</v>
      </c>
      <c r="I108" s="6">
        <f t="shared" si="8"/>
        <v>4.9365333691568508E-3</v>
      </c>
      <c r="J108" s="7">
        <f t="shared" si="5"/>
        <v>801140000</v>
      </c>
      <c r="K108" s="7">
        <f t="shared" si="9"/>
        <v>811445000</v>
      </c>
      <c r="L108" s="8" cm="1">
        <f t="array" ref="L108">IFERROR(MAX(_xlfn._xlws.FILTER(VIX_clean!$A$2:$A$152,(VIX_clean!$A$2:$A$152&lt;A108)*ISNUMBER(VIX_clean!$B$2:$B$152))),"")</f>
        <v>46265</v>
      </c>
      <c r="M108" s="10">
        <f>IF(L108="","",_xlfn.XLOOKUP(L108,VIX_clean!$A$2:$A$152,VIX_clean!$B$2:$B$152,""))</f>
        <v>14.92</v>
      </c>
      <c r="N108" s="10" t="str">
        <f t="shared" si="6"/>
        <v>OK</v>
      </c>
    </row>
    <row r="109" spans="1:14" ht="17" x14ac:dyDescent="0.25">
      <c r="A109" s="1">
        <v>46267</v>
      </c>
      <c r="B109" s="2">
        <v>8978.4</v>
      </c>
      <c r="C109" s="2">
        <v>9066.7000000000007</v>
      </c>
      <c r="D109" s="2">
        <v>9066.7000000000007</v>
      </c>
      <c r="E109" s="2">
        <v>8935.1</v>
      </c>
      <c r="F109" t="s">
        <v>43</v>
      </c>
      <c r="G109" s="3">
        <v>-9.7000000000000003E-3</v>
      </c>
      <c r="H109" s="6">
        <f t="shared" si="7"/>
        <v>-9.7389347833281015E-3</v>
      </c>
      <c r="I109" s="6">
        <f t="shared" si="8"/>
        <v>5.4492604818143922E-3</v>
      </c>
      <c r="J109" s="7">
        <f t="shared" si="5"/>
        <v>886430000</v>
      </c>
      <c r="K109" s="7">
        <f t="shared" si="9"/>
        <v>820364500</v>
      </c>
      <c r="L109" s="8" cm="1">
        <f t="array" ref="L109">IFERROR(MAX(_xlfn._xlws.FILTER(VIX_clean!$A$2:$A$152,(VIX_clean!$A$2:$A$152&lt;A109)*ISNUMBER(VIX_clean!$B$2:$B$152))),"")</f>
        <v>46266</v>
      </c>
      <c r="M109" s="10">
        <f>IF(L109="","",_xlfn.XLOOKUP(L109,VIX_clean!$A$2:$A$152,VIX_clean!$B$2:$B$152,""))</f>
        <v>16.34</v>
      </c>
      <c r="N109" s="10" t="str">
        <f t="shared" si="6"/>
        <v>OK</v>
      </c>
    </row>
    <row r="110" spans="1:14" ht="17" x14ac:dyDescent="0.25">
      <c r="A110" s="1">
        <v>46268</v>
      </c>
      <c r="B110" s="2">
        <v>9020.1</v>
      </c>
      <c r="C110" s="2">
        <v>8978.4</v>
      </c>
      <c r="D110" s="2">
        <v>9027.9</v>
      </c>
      <c r="E110" s="2">
        <v>8970.2999999999993</v>
      </c>
      <c r="F110" t="s">
        <v>42</v>
      </c>
      <c r="G110" s="3">
        <v>4.5999999999999999E-3</v>
      </c>
      <c r="H110" s="6">
        <f t="shared" si="7"/>
        <v>4.6444800855387491E-3</v>
      </c>
      <c r="I110" s="6">
        <f t="shared" si="8"/>
        <v>5.3630231923667213E-3</v>
      </c>
      <c r="J110" s="7">
        <f t="shared" si="5"/>
        <v>785350000</v>
      </c>
      <c r="K110" s="7">
        <f t="shared" si="9"/>
        <v>823107000</v>
      </c>
      <c r="L110" s="8" cm="1">
        <f t="array" ref="L110">IFERROR(MAX(_xlfn._xlws.FILTER(VIX_clean!$A$2:$A$152,(VIX_clean!$A$2:$A$152&lt;A110)*ISNUMBER(VIX_clean!$B$2:$B$152))),"")</f>
        <v>46267</v>
      </c>
      <c r="M110" s="10">
        <f>IF(L110="","",_xlfn.XLOOKUP(L110,VIX_clean!$A$2:$A$152,VIX_clean!$B$2:$B$152,""))</f>
        <v>15.2</v>
      </c>
      <c r="N110" s="10" t="str">
        <f t="shared" si="6"/>
        <v>OK</v>
      </c>
    </row>
    <row r="111" spans="1:14" ht="17" x14ac:dyDescent="0.25">
      <c r="A111" s="1">
        <v>46269</v>
      </c>
      <c r="B111" s="2">
        <v>9005.9</v>
      </c>
      <c r="C111" s="2">
        <v>9020.1</v>
      </c>
      <c r="D111" s="2">
        <v>9070.2000000000007</v>
      </c>
      <c r="E111" s="2">
        <v>8997.5</v>
      </c>
      <c r="F111" t="s">
        <v>41</v>
      </c>
      <c r="G111" s="3">
        <v>-1.6000000000000001E-3</v>
      </c>
      <c r="H111" s="6">
        <f t="shared" si="7"/>
        <v>-1.5742619261428503E-3</v>
      </c>
      <c r="I111" s="6">
        <f t="shared" si="8"/>
        <v>5.2547307721551454E-3</v>
      </c>
      <c r="J111" s="7">
        <f t="shared" si="5"/>
        <v>831640000</v>
      </c>
      <c r="K111" s="7">
        <f t="shared" si="9"/>
        <v>832432000</v>
      </c>
      <c r="L111" s="8" cm="1">
        <f t="array" ref="L111">IFERROR(MAX(_xlfn._xlws.FILTER(VIX_clean!$A$2:$A$152,(VIX_clean!$A$2:$A$152&lt;A111)*ISNUMBER(VIX_clean!$B$2:$B$152))),"")</f>
        <v>46268</v>
      </c>
      <c r="M111" s="10">
        <f>IF(L111="","",_xlfn.XLOOKUP(L111,VIX_clean!$A$2:$A$152,VIX_clean!$B$2:$B$152,""))</f>
        <v>14.32</v>
      </c>
      <c r="N111" s="10" t="str">
        <f t="shared" si="6"/>
        <v>OK</v>
      </c>
    </row>
    <row r="112" spans="1:14" ht="17" x14ac:dyDescent="0.25">
      <c r="A112" s="1">
        <v>46272</v>
      </c>
      <c r="B112" s="2">
        <v>9010.9</v>
      </c>
      <c r="C112" s="2">
        <v>9005.9</v>
      </c>
      <c r="D112" s="2">
        <v>9044.5</v>
      </c>
      <c r="E112" s="2">
        <v>8999.4</v>
      </c>
      <c r="F112" t="s">
        <v>40</v>
      </c>
      <c r="G112" s="3">
        <v>5.9999999999999995E-4</v>
      </c>
      <c r="H112" s="6">
        <f t="shared" si="7"/>
        <v>5.5519159661998607E-4</v>
      </c>
      <c r="I112" s="6">
        <f t="shared" si="8"/>
        <v>5.2625348364015384E-3</v>
      </c>
      <c r="J112" s="7">
        <f t="shared" si="5"/>
        <v>560290000</v>
      </c>
      <c r="K112" s="7">
        <f t="shared" si="9"/>
        <v>829535500</v>
      </c>
      <c r="L112" s="8" cm="1">
        <f t="array" ref="L112">IFERROR(MAX(_xlfn._xlws.FILTER(VIX_clean!$A$2:$A$152,(VIX_clean!$A$2:$A$152&lt;A112)*ISNUMBER(VIX_clean!$B$2:$B$152))),"")</f>
        <v>46269</v>
      </c>
      <c r="M112" s="10">
        <f>IF(L112="","",_xlfn.XLOOKUP(L112,VIX_clean!$A$2:$A$152,VIX_clean!$B$2:$B$152,""))</f>
        <v>14.53</v>
      </c>
      <c r="N112" s="10" t="str">
        <f t="shared" si="6"/>
        <v>OK</v>
      </c>
    </row>
    <row r="113" spans="1:14" ht="17" x14ac:dyDescent="0.25">
      <c r="A113" s="1">
        <v>46273</v>
      </c>
      <c r="B113" s="2">
        <v>8920.7999999999993</v>
      </c>
      <c r="C113" s="2">
        <v>9010.9</v>
      </c>
      <c r="D113" s="2">
        <v>9010.9</v>
      </c>
      <c r="E113" s="2">
        <v>8914.5</v>
      </c>
      <c r="F113" t="s">
        <v>39</v>
      </c>
      <c r="G113" s="3">
        <v>-0.01</v>
      </c>
      <c r="H113" s="6">
        <f t="shared" si="7"/>
        <v>-9.9990012096461411E-3</v>
      </c>
      <c r="I113" s="6">
        <f t="shared" si="8"/>
        <v>5.8476869739104128E-3</v>
      </c>
      <c r="J113" s="7">
        <f t="shared" si="5"/>
        <v>602510000</v>
      </c>
      <c r="K113" s="7">
        <f t="shared" si="9"/>
        <v>825350000</v>
      </c>
      <c r="L113" s="8" cm="1">
        <f t="array" ref="L113">IFERROR(MAX(_xlfn._xlws.FILTER(VIX_clean!$A$2:$A$152,(VIX_clean!$A$2:$A$152&lt;A113)*ISNUMBER(VIX_clean!$B$2:$B$152))),"")</f>
        <v>46272</v>
      </c>
      <c r="M113" s="10">
        <f>IF(L113="","",_xlfn.XLOOKUP(L113,VIX_clean!$A$2:$A$152,VIX_clean!$B$2:$B$152,""))</f>
        <v>15.3</v>
      </c>
      <c r="N113" s="10" t="str">
        <f t="shared" si="6"/>
        <v>OK</v>
      </c>
    </row>
    <row r="114" spans="1:14" ht="17" x14ac:dyDescent="0.25">
      <c r="A114" s="1">
        <v>46274</v>
      </c>
      <c r="B114" s="2">
        <v>8911.4</v>
      </c>
      <c r="C114" s="2">
        <v>8920.7999999999993</v>
      </c>
      <c r="D114" s="2">
        <v>8951</v>
      </c>
      <c r="E114" s="2">
        <v>8888.7999999999993</v>
      </c>
      <c r="F114" t="s">
        <v>38</v>
      </c>
      <c r="G114" s="3">
        <v>-1.1000000000000001E-3</v>
      </c>
      <c r="H114" s="6">
        <f t="shared" si="7"/>
        <v>-1.0537171554120262E-3</v>
      </c>
      <c r="I114" s="6">
        <f t="shared" si="8"/>
        <v>5.712470914369442E-3</v>
      </c>
      <c r="J114" s="7">
        <f t="shared" si="5"/>
        <v>679420000</v>
      </c>
      <c r="K114" s="7">
        <f t="shared" si="9"/>
        <v>828100000</v>
      </c>
      <c r="L114" s="8" cm="1">
        <f t="array" ref="L114">IFERROR(MAX(_xlfn._xlws.FILTER(VIX_clean!$A$2:$A$152,(VIX_clean!$A$2:$A$152&lt;A114)*ISNUMBER(VIX_clean!$B$2:$B$152))),"")</f>
        <v>46273</v>
      </c>
      <c r="M114" s="10">
        <f>IF(L114="","",_xlfn.XLOOKUP(L114,VIX_clean!$A$2:$A$152,VIX_clean!$B$2:$B$152,""))</f>
        <v>15.72</v>
      </c>
      <c r="N114" s="10" t="str">
        <f t="shared" si="6"/>
        <v>OK</v>
      </c>
    </row>
    <row r="115" spans="1:14" ht="17" x14ac:dyDescent="0.25">
      <c r="A115" s="1">
        <v>46275</v>
      </c>
      <c r="B115" s="2">
        <v>8819.4</v>
      </c>
      <c r="C115" s="2">
        <v>8911.4</v>
      </c>
      <c r="D115" s="2">
        <v>8911.4</v>
      </c>
      <c r="E115" s="2">
        <v>8742.6</v>
      </c>
      <c r="F115" t="s">
        <v>37</v>
      </c>
      <c r="G115" s="3">
        <v>-1.03E-2</v>
      </c>
      <c r="H115" s="6">
        <f t="shared" si="7"/>
        <v>-1.0323854837623769E-2</v>
      </c>
      <c r="I115" s="6">
        <f t="shared" si="8"/>
        <v>6.1934797560326254E-3</v>
      </c>
      <c r="J115" s="7">
        <f t="shared" si="5"/>
        <v>836900000</v>
      </c>
      <c r="K115" s="7">
        <f t="shared" si="9"/>
        <v>833114500</v>
      </c>
      <c r="L115" s="8" cm="1">
        <f t="array" ref="L115">IFERROR(MAX(_xlfn._xlws.FILTER(VIX_clean!$A$2:$A$152,(VIX_clean!$A$2:$A$152&lt;A115)*ISNUMBER(VIX_clean!$B$2:$B$152))),"")</f>
        <v>46274</v>
      </c>
      <c r="M115" s="10">
        <f>IF(L115="","",_xlfn.XLOOKUP(L115,VIX_clean!$A$2:$A$152,VIX_clean!$B$2:$B$152,""))</f>
        <v>16.46</v>
      </c>
      <c r="N115" s="10" t="str">
        <f t="shared" si="6"/>
        <v>OK</v>
      </c>
    </row>
    <row r="116" spans="1:14" ht="17" x14ac:dyDescent="0.25">
      <c r="A116" s="1">
        <v>46276</v>
      </c>
      <c r="B116" s="2">
        <v>8741.2000000000007</v>
      </c>
      <c r="C116" s="2">
        <v>8819.4</v>
      </c>
      <c r="D116" s="2">
        <v>8819.4</v>
      </c>
      <c r="E116" s="2">
        <v>8699.7999999999993</v>
      </c>
      <c r="F116" t="s">
        <v>36</v>
      </c>
      <c r="G116" s="3">
        <v>-8.8999999999999999E-3</v>
      </c>
      <c r="H116" s="6">
        <f t="shared" si="7"/>
        <v>-8.8668163367121577E-3</v>
      </c>
      <c r="I116" s="6">
        <f t="shared" si="8"/>
        <v>6.1263151549353261E-3</v>
      </c>
      <c r="J116" s="7">
        <f t="shared" si="5"/>
        <v>704400000</v>
      </c>
      <c r="K116" s="7">
        <f t="shared" si="9"/>
        <v>834813500</v>
      </c>
      <c r="L116" s="8" cm="1">
        <f t="array" ref="L116">IFERROR(MAX(_xlfn._xlws.FILTER(VIX_clean!$A$2:$A$152,(VIX_clean!$A$2:$A$152&lt;A116)*ISNUMBER(VIX_clean!$B$2:$B$152))),"")</f>
        <v>46275</v>
      </c>
      <c r="M116" s="10">
        <f>IF(L116="","",_xlfn.XLOOKUP(L116,VIX_clean!$A$2:$A$152,VIX_clean!$B$2:$B$152,""))</f>
        <v>17.84</v>
      </c>
      <c r="N116" s="10" t="str">
        <f t="shared" si="6"/>
        <v>OK</v>
      </c>
    </row>
    <row r="117" spans="1:14" ht="17" x14ac:dyDescent="0.25">
      <c r="A117" s="1">
        <v>46279</v>
      </c>
      <c r="B117" s="2">
        <v>8749.9</v>
      </c>
      <c r="C117" s="2">
        <v>8741.2000000000007</v>
      </c>
      <c r="D117" s="2">
        <v>8768.2999999999993</v>
      </c>
      <c r="E117" s="2">
        <v>8734</v>
      </c>
      <c r="F117" t="s">
        <v>35</v>
      </c>
      <c r="G117" s="3">
        <v>1E-3</v>
      </c>
      <c r="H117" s="6">
        <f t="shared" si="7"/>
        <v>9.9528668832649103E-4</v>
      </c>
      <c r="I117" s="6">
        <f t="shared" si="8"/>
        <v>5.6005121063073876E-3</v>
      </c>
      <c r="J117" s="7">
        <f t="shared" si="5"/>
        <v>690840000</v>
      </c>
      <c r="K117" s="7">
        <f t="shared" si="9"/>
        <v>832369500</v>
      </c>
      <c r="L117" s="8" cm="1">
        <f t="array" ref="L117">IFERROR(MAX(_xlfn._xlws.FILTER(VIX_clean!$A$2:$A$152,(VIX_clean!$A$2:$A$152&lt;A117)*ISNUMBER(VIX_clean!$B$2:$B$152))),"")</f>
        <v>46276</v>
      </c>
      <c r="M117" s="10">
        <f>IF(L117="","",_xlfn.XLOOKUP(L117,VIX_clean!$A$2:$A$152,VIX_clean!$B$2:$B$152,""))</f>
        <v>15.84</v>
      </c>
      <c r="N117" s="10" t="str">
        <f t="shared" si="6"/>
        <v>OK</v>
      </c>
    </row>
    <row r="118" spans="1:14" ht="17" x14ac:dyDescent="0.25">
      <c r="A118" s="1">
        <v>46280</v>
      </c>
      <c r="B118" s="2">
        <v>8672.5</v>
      </c>
      <c r="C118" s="2">
        <v>8749.9</v>
      </c>
      <c r="D118" s="2">
        <v>8749.9</v>
      </c>
      <c r="E118" s="2">
        <v>8657.1</v>
      </c>
      <c r="F118" t="s">
        <v>34</v>
      </c>
      <c r="G118" s="3">
        <v>-8.8000000000000005E-3</v>
      </c>
      <c r="H118" s="6">
        <f t="shared" si="7"/>
        <v>-8.8458153807471351E-3</v>
      </c>
      <c r="I118" s="6">
        <f t="shared" si="8"/>
        <v>5.7942475420618951E-3</v>
      </c>
      <c r="J118" s="7">
        <f t="shared" si="5"/>
        <v>773540000</v>
      </c>
      <c r="K118" s="7">
        <f t="shared" si="9"/>
        <v>830291000</v>
      </c>
      <c r="L118" s="8" cm="1">
        <f t="array" ref="L118">IFERROR(MAX(_xlfn._xlws.FILTER(VIX_clean!$A$2:$A$152,(VIX_clean!$A$2:$A$152&lt;A118)*ISNUMBER(VIX_clean!$B$2:$B$152))),"")</f>
        <v>46279</v>
      </c>
      <c r="M118" s="10">
        <f>IF(L118="","",_xlfn.XLOOKUP(L118,VIX_clean!$A$2:$A$152,VIX_clean!$B$2:$B$152,""))</f>
        <v>17.100000000000001</v>
      </c>
      <c r="N118" s="10" t="str">
        <f t="shared" si="6"/>
        <v>OK</v>
      </c>
    </row>
    <row r="119" spans="1:14" ht="17" x14ac:dyDescent="0.25">
      <c r="A119" s="1">
        <v>46281</v>
      </c>
      <c r="B119" s="2">
        <v>8696.5</v>
      </c>
      <c r="C119" s="2">
        <v>8672.5</v>
      </c>
      <c r="D119" s="2">
        <v>8705.6</v>
      </c>
      <c r="E119" s="2">
        <v>8668.1</v>
      </c>
      <c r="F119" t="s">
        <v>33</v>
      </c>
      <c r="G119" s="3">
        <v>2.8E-3</v>
      </c>
      <c r="H119" s="6">
        <f t="shared" si="7"/>
        <v>2.7673681176132447E-3</v>
      </c>
      <c r="I119" s="6">
        <f t="shared" si="8"/>
        <v>5.7369498955467226E-3</v>
      </c>
      <c r="J119" s="7">
        <f t="shared" si="5"/>
        <v>947480000</v>
      </c>
      <c r="K119" s="7">
        <f t="shared" si="9"/>
        <v>834239500</v>
      </c>
      <c r="L119" s="8" cm="1">
        <f t="array" ref="L119">IFERROR(MAX(_xlfn._xlws.FILTER(VIX_clean!$A$2:$A$152,(VIX_clean!$A$2:$A$152&lt;A119)*ISNUMBER(VIX_clean!$B$2:$B$152))),"")</f>
        <v>46280</v>
      </c>
      <c r="M119" s="10">
        <f>IF(L119="","",_xlfn.XLOOKUP(L119,VIX_clean!$A$2:$A$152,VIX_clean!$B$2:$B$152,""))</f>
        <v>17.2</v>
      </c>
      <c r="N119" s="10" t="str">
        <f t="shared" si="6"/>
        <v>OK</v>
      </c>
    </row>
    <row r="120" spans="1:14" ht="17" x14ac:dyDescent="0.25">
      <c r="A120" s="1">
        <v>46282</v>
      </c>
      <c r="B120" s="2">
        <v>8732.4</v>
      </c>
      <c r="C120" s="2">
        <v>8696.5</v>
      </c>
      <c r="D120" s="2">
        <v>8787.1</v>
      </c>
      <c r="E120" s="2">
        <v>8696.5</v>
      </c>
      <c r="F120" t="s">
        <v>32</v>
      </c>
      <c r="G120" s="3">
        <v>4.1000000000000003E-3</v>
      </c>
      <c r="H120" s="6">
        <f t="shared" si="7"/>
        <v>4.1280975104927009E-3</v>
      </c>
      <c r="I120" s="6">
        <f t="shared" si="8"/>
        <v>5.5377966329402083E-3</v>
      </c>
      <c r="J120" s="7">
        <f t="shared" si="5"/>
        <v>994310000</v>
      </c>
      <c r="K120" s="7">
        <f t="shared" si="9"/>
        <v>835248000</v>
      </c>
      <c r="L120" s="8" cm="1">
        <f t="array" ref="L120">IFERROR(MAX(_xlfn._xlws.FILTER(VIX_clean!$A$2:$A$152,(VIX_clean!$A$2:$A$152&lt;A120)*ISNUMBER(VIX_clean!$B$2:$B$152))),"")</f>
        <v>46281</v>
      </c>
      <c r="M120" s="10">
        <f>IF(L120="","",_xlfn.XLOOKUP(L120,VIX_clean!$A$2:$A$152,VIX_clean!$B$2:$B$152,""))</f>
        <v>17.71</v>
      </c>
      <c r="N120" s="10" t="str">
        <f t="shared" si="6"/>
        <v>OK</v>
      </c>
    </row>
    <row r="121" spans="1:14" ht="17" x14ac:dyDescent="0.25">
      <c r="A121" s="1">
        <v>46283</v>
      </c>
      <c r="B121" s="2">
        <v>8731.2000000000007</v>
      </c>
      <c r="C121" s="2">
        <v>8732.4</v>
      </c>
      <c r="D121" s="2">
        <v>8771.6</v>
      </c>
      <c r="E121" s="2">
        <v>8717</v>
      </c>
      <c r="F121" t="s">
        <v>31</v>
      </c>
      <c r="G121" s="3">
        <v>-1E-4</v>
      </c>
      <c r="H121" s="6">
        <f t="shared" si="7"/>
        <v>-1.3741926618093814E-4</v>
      </c>
      <c r="I121" s="6">
        <f t="shared" si="8"/>
        <v>5.579993667417329E-3</v>
      </c>
      <c r="J121" s="7">
        <f t="shared" si="5"/>
        <v>2029999999.9999998</v>
      </c>
      <c r="K121" s="7">
        <f t="shared" si="9"/>
        <v>893466000</v>
      </c>
      <c r="L121" s="8" cm="1">
        <f t="array" ref="L121">IFERROR(MAX(_xlfn._xlws.FILTER(VIX_clean!$A$2:$A$152,(VIX_clean!$A$2:$A$152&lt;A121)*ISNUMBER(VIX_clean!$B$2:$B$152))),"")</f>
        <v>46282</v>
      </c>
      <c r="M121" s="10">
        <f>IF(L121="","",_xlfn.XLOOKUP(L121,VIX_clean!$A$2:$A$152,VIX_clean!$B$2:$B$152,""))</f>
        <v>15.44</v>
      </c>
      <c r="N121" s="10" t="str">
        <f t="shared" si="6"/>
        <v>OK</v>
      </c>
    </row>
    <row r="122" spans="1:14" ht="17" x14ac:dyDescent="0.25">
      <c r="A122" s="1">
        <v>46286</v>
      </c>
      <c r="B122" s="2">
        <v>8731.9</v>
      </c>
      <c r="C122" s="2">
        <v>8731.2000000000007</v>
      </c>
      <c r="D122" s="2">
        <v>8736.5</v>
      </c>
      <c r="E122" s="2">
        <v>8681.1</v>
      </c>
      <c r="F122" t="s">
        <v>30</v>
      </c>
      <c r="G122" s="3">
        <v>1E-4</v>
      </c>
      <c r="H122" s="6">
        <f t="shared" si="7"/>
        <v>8.017225581813392E-5</v>
      </c>
      <c r="I122" s="6">
        <f t="shared" si="8"/>
        <v>5.6139533886899956E-3</v>
      </c>
      <c r="J122" s="7">
        <f t="shared" si="5"/>
        <v>551770000</v>
      </c>
      <c r="K122" s="7">
        <f t="shared" si="9"/>
        <v>878780500</v>
      </c>
      <c r="L122" s="8" cm="1">
        <f t="array" ref="L122">IFERROR(MAX(_xlfn._xlws.FILTER(VIX_clean!$A$2:$A$152,(VIX_clean!$A$2:$A$152&lt;A122)*ISNUMBER(VIX_clean!$B$2:$B$152))),"")</f>
        <v>46283</v>
      </c>
      <c r="M122" s="10">
        <f>IF(L122="","",_xlfn.XLOOKUP(L122,VIX_clean!$A$2:$A$152,VIX_clean!$B$2:$B$152,""))</f>
        <v>14.81</v>
      </c>
      <c r="N122" s="10" t="str">
        <f t="shared" si="6"/>
        <v>OK</v>
      </c>
    </row>
    <row r="123" spans="1:14" ht="17" x14ac:dyDescent="0.25">
      <c r="A123" s="1">
        <v>46287</v>
      </c>
      <c r="B123" s="2">
        <v>8757.7999999999993</v>
      </c>
      <c r="C123" s="2">
        <v>8731.9</v>
      </c>
      <c r="D123" s="2">
        <v>8780.7999999999993</v>
      </c>
      <c r="E123" s="2">
        <v>8725.7000000000007</v>
      </c>
      <c r="F123" t="s">
        <v>29</v>
      </c>
      <c r="G123" s="3">
        <v>3.0000000000000001E-3</v>
      </c>
      <c r="H123" s="6">
        <f t="shared" si="7"/>
        <v>2.9661356634866909E-3</v>
      </c>
      <c r="I123" s="6">
        <f t="shared" si="8"/>
        <v>5.4062702766582349E-3</v>
      </c>
      <c r="J123" s="7">
        <f t="shared" si="5"/>
        <v>598240000</v>
      </c>
      <c r="K123" s="7">
        <f t="shared" si="9"/>
        <v>866384000</v>
      </c>
      <c r="L123" s="8" cm="1">
        <f t="array" ref="L123">IFERROR(MAX(_xlfn._xlws.FILTER(VIX_clean!$A$2:$A$152,(VIX_clean!$A$2:$A$152&lt;A123)*ISNUMBER(VIX_clean!$B$2:$B$152))),"")</f>
        <v>46286</v>
      </c>
      <c r="M123" s="10">
        <f>IF(L123="","",_xlfn.XLOOKUP(L123,VIX_clean!$A$2:$A$152,VIX_clean!$B$2:$B$152,""))</f>
        <v>14.87</v>
      </c>
      <c r="N123" s="10" t="str">
        <f t="shared" si="6"/>
        <v>OK</v>
      </c>
    </row>
    <row r="124" spans="1:14" ht="17" x14ac:dyDescent="0.25">
      <c r="A124" s="1">
        <v>46288</v>
      </c>
      <c r="B124" s="2">
        <v>8765.2999999999993</v>
      </c>
      <c r="C124" s="2">
        <v>8757.7999999999993</v>
      </c>
      <c r="D124" s="2">
        <v>8791.9</v>
      </c>
      <c r="E124" s="2">
        <v>8742.7000000000007</v>
      </c>
      <c r="F124" t="s">
        <v>28</v>
      </c>
      <c r="G124" s="3">
        <v>8.9999999999999998E-4</v>
      </c>
      <c r="H124" s="6">
        <f t="shared" si="7"/>
        <v>8.5637945602767829E-4</v>
      </c>
      <c r="I124" s="6">
        <f t="shared" si="8"/>
        <v>5.1496891915419592E-3</v>
      </c>
      <c r="J124" s="7">
        <f t="shared" si="5"/>
        <v>699090000</v>
      </c>
      <c r="K124" s="7">
        <f t="shared" si="9"/>
        <v>858489500</v>
      </c>
      <c r="L124" s="8" cm="1">
        <f t="array" ref="L124">IFERROR(MAX(_xlfn._xlws.FILTER(VIX_clean!$A$2:$A$152,(VIX_clean!$A$2:$A$152&lt;A124)*ISNUMBER(VIX_clean!$B$2:$B$152))),"")</f>
        <v>46287</v>
      </c>
      <c r="M124" s="10">
        <f>IF(L124="","",_xlfn.XLOOKUP(L124,VIX_clean!$A$2:$A$152,VIX_clean!$B$2:$B$152,""))</f>
        <v>14.21</v>
      </c>
      <c r="N124" s="10" t="str">
        <f t="shared" si="6"/>
        <v>OK</v>
      </c>
    </row>
    <row r="125" spans="1:14" ht="17" x14ac:dyDescent="0.25">
      <c r="A125" s="1">
        <v>46289</v>
      </c>
      <c r="B125" s="2">
        <v>8702</v>
      </c>
      <c r="C125" s="2">
        <v>8765.2999999999993</v>
      </c>
      <c r="D125" s="2">
        <v>8765.2999999999993</v>
      </c>
      <c r="E125" s="2">
        <v>8645.7000000000007</v>
      </c>
      <c r="F125" t="s">
        <v>27</v>
      </c>
      <c r="G125" s="3">
        <v>-7.1999999999999998E-3</v>
      </c>
      <c r="H125" s="6">
        <f t="shared" si="7"/>
        <v>-7.221658129213937E-3</v>
      </c>
      <c r="I125" s="6">
        <f t="shared" si="8"/>
        <v>5.3291101961075943E-3</v>
      </c>
      <c r="J125" s="7">
        <f t="shared" si="5"/>
        <v>726090000</v>
      </c>
      <c r="K125" s="7">
        <f t="shared" si="9"/>
        <v>848410000</v>
      </c>
      <c r="L125" s="8" cm="1">
        <f t="array" ref="L125">IFERROR(MAX(_xlfn._xlws.FILTER(VIX_clean!$A$2:$A$152,(VIX_clean!$A$2:$A$152&lt;A125)*ISNUMBER(VIX_clean!$B$2:$B$152))),"")</f>
        <v>46288</v>
      </c>
      <c r="M125" s="10">
        <f>IF(L125="","",_xlfn.XLOOKUP(L125,VIX_clean!$A$2:$A$152,VIX_clean!$B$2:$B$152,""))</f>
        <v>15.18</v>
      </c>
      <c r="N125" s="10" t="str">
        <f t="shared" si="6"/>
        <v>OK</v>
      </c>
    </row>
    <row r="126" spans="1:14" ht="17" x14ac:dyDescent="0.25">
      <c r="A126" s="1">
        <v>46290</v>
      </c>
      <c r="B126" s="2">
        <v>8665</v>
      </c>
      <c r="C126" s="2">
        <v>8702</v>
      </c>
      <c r="D126" s="2">
        <v>8702</v>
      </c>
      <c r="E126" s="2">
        <v>8639.9</v>
      </c>
      <c r="F126" t="s">
        <v>26</v>
      </c>
      <c r="G126" s="3">
        <v>-4.3E-3</v>
      </c>
      <c r="H126" s="6">
        <f t="shared" si="7"/>
        <v>-4.2518961158354296E-3</v>
      </c>
      <c r="I126" s="6">
        <f t="shared" si="8"/>
        <v>5.276180592215917E-3</v>
      </c>
      <c r="J126" s="7">
        <f t="shared" si="5"/>
        <v>589900000</v>
      </c>
      <c r="K126" s="7">
        <f t="shared" si="9"/>
        <v>842967000</v>
      </c>
      <c r="L126" s="8" cm="1">
        <f t="array" ref="L126">IFERROR(MAX(_xlfn._xlws.FILTER(VIX_clean!$A$2:$A$152,(VIX_clean!$A$2:$A$152&lt;A126)*ISNUMBER(VIX_clean!$B$2:$B$152))),"")</f>
        <v>46289</v>
      </c>
      <c r="M126" s="10">
        <f>IF(L126="","",_xlfn.XLOOKUP(L126,VIX_clean!$A$2:$A$152,VIX_clean!$B$2:$B$152,""))</f>
        <v>15.67</v>
      </c>
      <c r="N126" s="10" t="str">
        <f t="shared" si="6"/>
        <v>OK</v>
      </c>
    </row>
    <row r="127" spans="1:14" ht="17" x14ac:dyDescent="0.25">
      <c r="A127" s="1">
        <v>46293</v>
      </c>
      <c r="B127" s="2">
        <v>8679.7000000000007</v>
      </c>
      <c r="C127" s="2">
        <v>8665</v>
      </c>
      <c r="D127" s="2">
        <v>8709.2999999999993</v>
      </c>
      <c r="E127" s="2">
        <v>8665</v>
      </c>
      <c r="F127" t="s">
        <v>25</v>
      </c>
      <c r="G127" s="3">
        <v>1.6999999999999999E-3</v>
      </c>
      <c r="H127" s="6">
        <f t="shared" si="7"/>
        <v>1.6964800923255918E-3</v>
      </c>
      <c r="I127" s="6">
        <f t="shared" si="8"/>
        <v>4.9616025193833443E-3</v>
      </c>
      <c r="J127" s="7">
        <f t="shared" si="5"/>
        <v>708070000</v>
      </c>
      <c r="K127" s="7">
        <f t="shared" si="9"/>
        <v>799870500</v>
      </c>
      <c r="L127" s="8" cm="1">
        <f t="array" ref="L127">IFERROR(MAX(_xlfn._xlws.FILTER(VIX_clean!$A$2:$A$152,(VIX_clean!$A$2:$A$152&lt;A127)*ISNUMBER(VIX_clean!$B$2:$B$152))),"")</f>
        <v>46290</v>
      </c>
      <c r="M127" s="10">
        <f>IF(L127="","",_xlfn.XLOOKUP(L127,VIX_clean!$A$2:$A$152,VIX_clean!$B$2:$B$152,""))</f>
        <v>14.87</v>
      </c>
      <c r="N127" s="10" t="str">
        <f t="shared" si="6"/>
        <v>OK</v>
      </c>
    </row>
    <row r="128" spans="1:14" ht="17" x14ac:dyDescent="0.25">
      <c r="A128" s="1">
        <v>46294</v>
      </c>
      <c r="B128" s="2">
        <v>8709.2999999999993</v>
      </c>
      <c r="C128" s="2">
        <v>8679.7000000000007</v>
      </c>
      <c r="D128" s="2">
        <v>8709.2999999999993</v>
      </c>
      <c r="E128" s="2">
        <v>8661</v>
      </c>
      <c r="F128" t="s">
        <v>24</v>
      </c>
      <c r="G128" s="3">
        <v>3.3999999999999998E-3</v>
      </c>
      <c r="H128" s="6">
        <f t="shared" si="7"/>
        <v>3.4102561148425803E-3</v>
      </c>
      <c r="I128" s="6">
        <f t="shared" si="8"/>
        <v>5.1625617050738868E-3</v>
      </c>
      <c r="J128" s="7">
        <f t="shared" si="5"/>
        <v>627390000</v>
      </c>
      <c r="K128" s="7">
        <f t="shared" si="9"/>
        <v>791183000</v>
      </c>
      <c r="L128" s="8" cm="1">
        <f t="array" ref="L128">IFERROR(MAX(_xlfn._xlws.FILTER(VIX_clean!$A$2:$A$152,(VIX_clean!$A$2:$A$152&lt;A128)*ISNUMBER(VIX_clean!$B$2:$B$152))),"")</f>
        <v>46293</v>
      </c>
      <c r="M128" s="10">
        <f>IF(L128="","",_xlfn.XLOOKUP(L128,VIX_clean!$A$2:$A$152,VIX_clean!$B$2:$B$152,""))</f>
        <v>16.07</v>
      </c>
      <c r="N128" s="10" t="str">
        <f t="shared" si="6"/>
        <v>OK</v>
      </c>
    </row>
    <row r="129" spans="1:14" ht="17" x14ac:dyDescent="0.25">
      <c r="A129" s="1">
        <v>46295</v>
      </c>
      <c r="B129" s="2">
        <v>8789.2999999999993</v>
      </c>
      <c r="C129" s="2">
        <v>8709.2999999999993</v>
      </c>
      <c r="D129" s="2">
        <v>8808.4</v>
      </c>
      <c r="E129" s="2">
        <v>8696.7999999999993</v>
      </c>
      <c r="F129" t="s">
        <v>23</v>
      </c>
      <c r="G129" s="3">
        <v>9.1999999999999998E-3</v>
      </c>
      <c r="H129" s="6">
        <f t="shared" si="7"/>
        <v>9.1855832271250382E-3</v>
      </c>
      <c r="I129" s="6">
        <f t="shared" si="8"/>
        <v>5.2658596806508459E-3</v>
      </c>
      <c r="J129" s="7">
        <f t="shared" si="5"/>
        <v>961430000</v>
      </c>
      <c r="K129" s="7">
        <f t="shared" si="9"/>
        <v>794933000</v>
      </c>
      <c r="L129" s="8" cm="1">
        <f t="array" ref="L129">IFERROR(MAX(_xlfn._xlws.FILTER(VIX_clean!$A$2:$A$152,(VIX_clean!$A$2:$A$152&lt;A129)*ISNUMBER(VIX_clean!$B$2:$B$152))),"")</f>
        <v>46294</v>
      </c>
      <c r="M129" s="10">
        <f>IF(L129="","",_xlfn.XLOOKUP(L129,VIX_clean!$A$2:$A$152,VIX_clean!$B$2:$B$152,""))</f>
        <v>16.04</v>
      </c>
      <c r="N129" s="10" t="str">
        <f t="shared" si="6"/>
        <v>OK</v>
      </c>
    </row>
    <row r="130" spans="1:14" ht="17" x14ac:dyDescent="0.25">
      <c r="A130" s="1">
        <v>46296</v>
      </c>
      <c r="B130" s="2">
        <v>8614.4</v>
      </c>
      <c r="C130" s="2">
        <v>8789.2999999999993</v>
      </c>
      <c r="D130" s="2">
        <v>8789.2999999999993</v>
      </c>
      <c r="E130" s="2">
        <v>8613.2000000000007</v>
      </c>
      <c r="F130" t="s">
        <v>22</v>
      </c>
      <c r="G130" s="3">
        <v>-1.9900000000000001E-2</v>
      </c>
      <c r="H130" s="6">
        <f t="shared" si="7"/>
        <v>-1.9899195612847365E-2</v>
      </c>
      <c r="I130" s="6">
        <f t="shared" si="8"/>
        <v>7.1470345423289248E-3</v>
      </c>
      <c r="J130" s="7">
        <f t="shared" si="5"/>
        <v>784280000</v>
      </c>
      <c r="K130" s="7">
        <f t="shared" si="9"/>
        <v>794879500</v>
      </c>
      <c r="L130" s="8" cm="1">
        <f t="array" ref="L130">IFERROR(MAX(_xlfn._xlws.FILTER(VIX_clean!$A$2:$A$152,(VIX_clean!$A$2:$A$152&lt;A130)*ISNUMBER(VIX_clean!$B$2:$B$152))),"")</f>
        <v>46295</v>
      </c>
      <c r="M130" s="10">
        <f>IF(L130="","",_xlfn.XLOOKUP(L130,VIX_clean!$A$2:$A$152,VIX_clean!$B$2:$B$152,""))</f>
        <v>16.34</v>
      </c>
      <c r="N130" s="10" t="str">
        <f t="shared" si="6"/>
        <v>OK</v>
      </c>
    </row>
    <row r="131" spans="1:14" ht="17" x14ac:dyDescent="0.25">
      <c r="A131" s="1">
        <v>46297</v>
      </c>
      <c r="B131" s="2">
        <v>8682.1</v>
      </c>
      <c r="C131" s="2">
        <v>8614.4</v>
      </c>
      <c r="D131" s="2">
        <v>8682.1</v>
      </c>
      <c r="E131" s="2">
        <v>8614.4</v>
      </c>
      <c r="F131" t="s">
        <v>21</v>
      </c>
      <c r="G131" s="3">
        <v>7.9000000000000008E-3</v>
      </c>
      <c r="H131" s="6">
        <f t="shared" si="7"/>
        <v>7.8589338781576146E-3</v>
      </c>
      <c r="I131" s="6">
        <f t="shared" si="8"/>
        <v>7.5214608989051992E-3</v>
      </c>
      <c r="J131" s="7">
        <f t="shared" ref="J131:J149" si="10">VALUE(LEFT(F131,LEN(F131)-1))*IF(RIGHT(F131,1)="B",1000000000,1000000)</f>
        <v>637270000</v>
      </c>
      <c r="K131" s="7">
        <f t="shared" si="9"/>
        <v>785161000</v>
      </c>
      <c r="L131" s="8" cm="1">
        <f t="array" ref="L131">IFERROR(MAX(_xlfn._xlws.FILTER(VIX_clean!$A$2:$A$152,(VIX_clean!$A$2:$A$152&lt;A131)*ISNUMBER(VIX_clean!$B$2:$B$152))),"")</f>
        <v>46296</v>
      </c>
      <c r="M131" s="10">
        <f>IF(L131="","",_xlfn.XLOOKUP(L131,VIX_clean!$A$2:$A$152,VIX_clean!$B$2:$B$152,""))</f>
        <v>16.39</v>
      </c>
      <c r="N131" s="10" t="str">
        <f t="shared" ref="N131:N149" si="11">IF(L131="","Missing",IF(A131-L131&gt;5,"Stale","OK"))</f>
        <v>OK</v>
      </c>
    </row>
    <row r="132" spans="1:14" ht="17" x14ac:dyDescent="0.25">
      <c r="A132" s="1">
        <v>46300</v>
      </c>
      <c r="B132" s="2">
        <v>8686.4</v>
      </c>
      <c r="C132" s="2">
        <v>8682.1</v>
      </c>
      <c r="D132" s="2">
        <v>8735.6</v>
      </c>
      <c r="E132" s="2">
        <v>8678.2000000000007</v>
      </c>
      <c r="F132" t="s">
        <v>20</v>
      </c>
      <c r="G132" s="3">
        <v>5.0000000000000001E-4</v>
      </c>
      <c r="H132" s="6">
        <f t="shared" ref="H132:H149" si="12">(B132/B131)-1</f>
        <v>4.9527188122677757E-4</v>
      </c>
      <c r="I132" s="6">
        <f t="shared" si="8"/>
        <v>7.1311277777776063E-3</v>
      </c>
      <c r="J132" s="7">
        <f t="shared" si="10"/>
        <v>427850000</v>
      </c>
      <c r="K132" s="7">
        <f t="shared" si="9"/>
        <v>778539000</v>
      </c>
      <c r="L132" s="8" cm="1">
        <f t="array" ref="L132">IFERROR(MAX(_xlfn._xlws.FILTER(VIX_clean!$A$2:$A$152,(VIX_clean!$A$2:$A$152&lt;A132)*ISNUMBER(VIX_clean!$B$2:$B$152))),"")</f>
        <v>46297</v>
      </c>
      <c r="M132" s="10">
        <f>IF(L132="","",_xlfn.XLOOKUP(L132,VIX_clean!$A$2:$A$152,VIX_clean!$B$2:$B$152,""))</f>
        <v>15.31</v>
      </c>
      <c r="N132" s="10" t="str">
        <f t="shared" si="11"/>
        <v>OK</v>
      </c>
    </row>
    <row r="133" spans="1:14" ht="17" x14ac:dyDescent="0.25">
      <c r="A133" s="1">
        <v>46301</v>
      </c>
      <c r="B133" s="2">
        <v>8735.7000000000007</v>
      </c>
      <c r="C133" s="2">
        <v>8686.4</v>
      </c>
      <c r="D133" s="2">
        <v>8753</v>
      </c>
      <c r="E133" s="2">
        <v>8686.4</v>
      </c>
      <c r="F133" t="s">
        <v>19</v>
      </c>
      <c r="G133" s="3">
        <v>5.7000000000000002E-3</v>
      </c>
      <c r="H133" s="6">
        <f t="shared" si="12"/>
        <v>5.6755387732547735E-3</v>
      </c>
      <c r="I133" s="6">
        <f t="shared" si="8"/>
        <v>7.2548890491664709E-3</v>
      </c>
      <c r="J133" s="7">
        <f t="shared" si="10"/>
        <v>606920000</v>
      </c>
      <c r="K133" s="7">
        <f t="shared" si="9"/>
        <v>778759500</v>
      </c>
      <c r="L133" s="8" cm="1">
        <f t="array" ref="L133">IFERROR(MAX(_xlfn._xlws.FILTER(VIX_clean!$A$2:$A$152,(VIX_clean!$A$2:$A$152&lt;A133)*ISNUMBER(VIX_clean!$B$2:$B$152))),"")</f>
        <v>46300</v>
      </c>
      <c r="M133" s="10">
        <f>IF(L133="","",_xlfn.XLOOKUP(L133,VIX_clean!$A$2:$A$152,VIX_clean!$B$2:$B$152,""))</f>
        <v>15.52</v>
      </c>
      <c r="N133" s="10" t="str">
        <f t="shared" si="11"/>
        <v>OK</v>
      </c>
    </row>
    <row r="134" spans="1:14" ht="17" x14ac:dyDescent="0.25">
      <c r="A134" s="1">
        <v>46302</v>
      </c>
      <c r="B134" s="2">
        <v>8727.7000000000007</v>
      </c>
      <c r="C134" s="2">
        <v>8735.7000000000007</v>
      </c>
      <c r="D134" s="2">
        <v>8753.9</v>
      </c>
      <c r="E134" s="2">
        <v>8703.2999999999993</v>
      </c>
      <c r="F134" t="s">
        <v>18</v>
      </c>
      <c r="G134" s="3">
        <v>-8.9999999999999998E-4</v>
      </c>
      <c r="H134" s="6">
        <f t="shared" si="12"/>
        <v>-9.1578236432110494E-4</v>
      </c>
      <c r="I134" s="6">
        <f t="shared" si="8"/>
        <v>7.1774437475924102E-3</v>
      </c>
      <c r="J134" s="7">
        <f t="shared" si="10"/>
        <v>736090000</v>
      </c>
      <c r="K134" s="7">
        <f t="shared" si="9"/>
        <v>781593000</v>
      </c>
      <c r="L134" s="8" cm="1">
        <f t="array" ref="L134">IFERROR(MAX(_xlfn._xlws.FILTER(VIX_clean!$A$2:$A$152,(VIX_clean!$A$2:$A$152&lt;A134)*ISNUMBER(VIX_clean!$B$2:$B$152))),"")</f>
        <v>46301</v>
      </c>
      <c r="M134" s="10">
        <f>IF(L134="","",_xlfn.XLOOKUP(L134,VIX_clean!$A$2:$A$152,VIX_clean!$B$2:$B$152,""))</f>
        <v>15.01</v>
      </c>
      <c r="N134" s="10" t="str">
        <f t="shared" si="11"/>
        <v>OK</v>
      </c>
    </row>
    <row r="135" spans="1:14" ht="17" x14ac:dyDescent="0.25">
      <c r="A135" s="1">
        <v>46303</v>
      </c>
      <c r="B135" s="2">
        <v>8660.9</v>
      </c>
      <c r="C135" s="2">
        <v>8727.7000000000007</v>
      </c>
      <c r="D135" s="2">
        <v>8727.7000000000007</v>
      </c>
      <c r="E135" s="2">
        <v>8658.7000000000007</v>
      </c>
      <c r="F135" t="s">
        <v>17</v>
      </c>
      <c r="G135" s="3">
        <v>-7.7000000000000002E-3</v>
      </c>
      <c r="H135" s="6">
        <f t="shared" si="12"/>
        <v>-7.6537919497692286E-3</v>
      </c>
      <c r="I135" s="6">
        <f t="shared" si="8"/>
        <v>7.4628014448545948E-3</v>
      </c>
      <c r="J135" s="7">
        <f t="shared" si="10"/>
        <v>756920000</v>
      </c>
      <c r="K135" s="7">
        <f t="shared" si="9"/>
        <v>777594000</v>
      </c>
      <c r="L135" s="8" cm="1">
        <f t="array" ref="L135">IFERROR(MAX(_xlfn._xlws.FILTER(VIX_clean!$A$2:$A$152,(VIX_clean!$A$2:$A$152&lt;A135)*ISNUMBER(VIX_clean!$B$2:$B$152))),"")</f>
        <v>46302</v>
      </c>
      <c r="M135" s="10">
        <f>IF(L135="","",_xlfn.XLOOKUP(L135,VIX_clean!$A$2:$A$152,VIX_clean!$B$2:$B$152,""))</f>
        <v>15.08</v>
      </c>
      <c r="N135" s="10" t="str">
        <f t="shared" si="11"/>
        <v>OK</v>
      </c>
    </row>
    <row r="136" spans="1:14" ht="17" x14ac:dyDescent="0.25">
      <c r="A136" s="1">
        <v>46304</v>
      </c>
      <c r="B136" s="2">
        <v>8716.6</v>
      </c>
      <c r="C136" s="2">
        <v>8660.9</v>
      </c>
      <c r="D136" s="2">
        <v>8716.6</v>
      </c>
      <c r="E136" s="2">
        <v>8660.9</v>
      </c>
      <c r="F136" t="s">
        <v>16</v>
      </c>
      <c r="G136" s="3">
        <v>6.4000000000000003E-3</v>
      </c>
      <c r="H136" s="6">
        <f t="shared" si="12"/>
        <v>6.4312022999919449E-3</v>
      </c>
      <c r="I136" s="6">
        <f t="shared" si="8"/>
        <v>7.6935995844647029E-3</v>
      </c>
      <c r="J136" s="7">
        <f t="shared" si="10"/>
        <v>726000000</v>
      </c>
      <c r="K136" s="7">
        <f t="shared" si="9"/>
        <v>778674000</v>
      </c>
      <c r="L136" s="8" cm="1">
        <f t="array" ref="L136">IFERROR(MAX(_xlfn._xlws.FILTER(VIX_clean!$A$2:$A$152,(VIX_clean!$A$2:$A$152&lt;A136)*ISNUMBER(VIX_clean!$B$2:$B$152))),"")</f>
        <v>46303</v>
      </c>
      <c r="M136" s="10">
        <f>IF(L136="","",_xlfn.XLOOKUP(L136,VIX_clean!$A$2:$A$152,VIX_clean!$B$2:$B$152,""))</f>
        <v>15.41</v>
      </c>
      <c r="N136" s="10" t="str">
        <f t="shared" si="11"/>
        <v>OK</v>
      </c>
    </row>
    <row r="137" spans="1:14" ht="17" x14ac:dyDescent="0.25">
      <c r="A137" s="1">
        <v>46307</v>
      </c>
      <c r="B137" s="2">
        <v>8783.2000000000007</v>
      </c>
      <c r="C137" s="2">
        <v>8716.6</v>
      </c>
      <c r="D137" s="2">
        <v>8793.9</v>
      </c>
      <c r="E137" s="2">
        <v>8716.6</v>
      </c>
      <c r="F137" t="s">
        <v>16</v>
      </c>
      <c r="G137" s="3">
        <v>7.6E-3</v>
      </c>
      <c r="H137" s="6">
        <f t="shared" si="12"/>
        <v>7.6405938095129855E-3</v>
      </c>
      <c r="I137" s="6">
        <f t="shared" si="8"/>
        <v>7.9344510629512522E-3</v>
      </c>
      <c r="J137" s="7">
        <f t="shared" si="10"/>
        <v>726000000</v>
      </c>
      <c r="K137" s="7">
        <f t="shared" si="9"/>
        <v>780432000</v>
      </c>
      <c r="L137" s="8" cm="1">
        <f t="array" ref="L137">IFERROR(MAX(_xlfn._xlws.FILTER(VIX_clean!$A$2:$A$152,(VIX_clean!$A$2:$A$152&lt;A137)*ISNUMBER(VIX_clean!$B$2:$B$152))),"")</f>
        <v>46304</v>
      </c>
      <c r="M137" s="10">
        <f>IF(L137="","",_xlfn.XLOOKUP(L137,VIX_clean!$A$2:$A$152,VIX_clean!$B$2:$B$152,""))</f>
        <v>14.84</v>
      </c>
      <c r="N137" s="10" t="str">
        <f t="shared" si="11"/>
        <v>OK</v>
      </c>
    </row>
    <row r="138" spans="1:14" ht="17" x14ac:dyDescent="0.25">
      <c r="A138" s="1">
        <v>46308</v>
      </c>
      <c r="B138" s="2">
        <v>8783.9</v>
      </c>
      <c r="C138" s="2">
        <v>8783.2000000000007</v>
      </c>
      <c r="D138" s="2">
        <v>8800.7000000000007</v>
      </c>
      <c r="E138" s="2">
        <v>8738.7999999999993</v>
      </c>
      <c r="F138" t="s">
        <v>16</v>
      </c>
      <c r="G138" s="3">
        <v>1E-4</v>
      </c>
      <c r="H138" s="6">
        <f t="shared" si="12"/>
        <v>7.9697604517647846E-5</v>
      </c>
      <c r="I138" s="6">
        <f t="shared" si="8"/>
        <v>7.9324968603764704E-3</v>
      </c>
      <c r="J138" s="7">
        <f t="shared" si="10"/>
        <v>726000000</v>
      </c>
      <c r="K138" s="7">
        <f t="shared" si="9"/>
        <v>778055000</v>
      </c>
      <c r="L138" s="8" cm="1">
        <f t="array" ref="L138">IFERROR(MAX(_xlfn._xlws.FILTER(VIX_clean!$A$2:$A$152,(VIX_clean!$A$2:$A$152&lt;A138)*ISNUMBER(VIX_clean!$B$2:$B$152))),"")</f>
        <v>46307</v>
      </c>
      <c r="M138" s="10">
        <f>IF(L138="","",_xlfn.XLOOKUP(L138,VIX_clean!$A$2:$A$152,VIX_clean!$B$2:$B$152,""))</f>
        <v>15.21</v>
      </c>
      <c r="N138" s="10" t="str">
        <f t="shared" si="11"/>
        <v>OK</v>
      </c>
    </row>
    <row r="139" spans="1:14" ht="17" x14ac:dyDescent="0.25">
      <c r="A139" s="1">
        <v>46309</v>
      </c>
      <c r="B139" s="2">
        <v>8727.9</v>
      </c>
      <c r="C139" s="2">
        <v>8783.9</v>
      </c>
      <c r="D139" s="2">
        <v>8783.9</v>
      </c>
      <c r="E139" s="2">
        <v>8698.2999999999993</v>
      </c>
      <c r="F139" t="s">
        <v>16</v>
      </c>
      <c r="G139" s="3">
        <v>-6.4000000000000003E-3</v>
      </c>
      <c r="H139" s="6">
        <f t="shared" si="12"/>
        <v>-6.3753002652580104E-3</v>
      </c>
      <c r="I139" s="6">
        <f t="shared" si="8"/>
        <v>7.8747575209034033E-3</v>
      </c>
      <c r="J139" s="7">
        <f t="shared" si="10"/>
        <v>726000000</v>
      </c>
      <c r="K139" s="7">
        <f t="shared" si="9"/>
        <v>766981000</v>
      </c>
      <c r="L139" s="8" cm="1">
        <f t="array" ref="L139">IFERROR(MAX(_xlfn._xlws.FILTER(VIX_clean!$A$2:$A$152,(VIX_clean!$A$2:$A$152&lt;A139)*ISNUMBER(VIX_clean!$B$2:$B$152))),"")</f>
        <v>46308</v>
      </c>
      <c r="M139" s="10">
        <f>IF(L139="","",_xlfn.XLOOKUP(L139,VIX_clean!$A$2:$A$152,VIX_clean!$B$2:$B$152,""))</f>
        <v>15.27</v>
      </c>
      <c r="N139" s="10" t="str">
        <f t="shared" si="11"/>
        <v>OK</v>
      </c>
    </row>
    <row r="140" spans="1:14" ht="17" x14ac:dyDescent="0.25">
      <c r="A140" s="1">
        <v>46310</v>
      </c>
      <c r="B140" s="2">
        <v>8719.7000000000007</v>
      </c>
      <c r="C140" s="2">
        <v>8727.9</v>
      </c>
      <c r="D140" s="2">
        <v>8735.9</v>
      </c>
      <c r="E140" s="2">
        <v>8641.1</v>
      </c>
      <c r="F140" t="s">
        <v>16</v>
      </c>
      <c r="G140" s="3">
        <v>-8.9999999999999998E-4</v>
      </c>
      <c r="H140" s="6">
        <f t="shared" si="12"/>
        <v>-9.3951580563467196E-4</v>
      </c>
      <c r="I140" s="6">
        <f t="shared" si="8"/>
        <v>7.7785482938587383E-3</v>
      </c>
      <c r="J140" s="7">
        <f t="shared" si="10"/>
        <v>726000000</v>
      </c>
      <c r="K140" s="7">
        <f t="shared" si="9"/>
        <v>753565500</v>
      </c>
      <c r="L140" s="8" cm="1">
        <f t="array" ref="L140">IFERROR(MAX(_xlfn._xlws.FILTER(VIX_clean!$A$2:$A$152,(VIX_clean!$A$2:$A$152&lt;A140)*ISNUMBER(VIX_clean!$B$2:$B$152))),"")</f>
        <v>46309</v>
      </c>
      <c r="M140" s="10">
        <f>IF(L140="","",_xlfn.XLOOKUP(L140,VIX_clean!$A$2:$A$152,VIX_clean!$B$2:$B$152,""))</f>
        <v>16.87</v>
      </c>
      <c r="N140" s="10" t="str">
        <f t="shared" si="11"/>
        <v>OK</v>
      </c>
    </row>
    <row r="141" spans="1:14" ht="17" x14ac:dyDescent="0.25">
      <c r="A141" s="1">
        <v>46311</v>
      </c>
      <c r="B141" s="2">
        <v>8806.7000000000007</v>
      </c>
      <c r="C141" s="2">
        <v>8719.7000000000007</v>
      </c>
      <c r="D141" s="2">
        <v>8824.5</v>
      </c>
      <c r="E141" s="2">
        <v>8719.7000000000007</v>
      </c>
      <c r="F141" t="s">
        <v>15</v>
      </c>
      <c r="G141" s="3">
        <v>0.01</v>
      </c>
      <c r="H141" s="6">
        <f t="shared" si="12"/>
        <v>9.9774074796150636E-3</v>
      </c>
      <c r="I141" s="6">
        <f t="shared" si="8"/>
        <v>8.1826923295700606E-3</v>
      </c>
      <c r="J141" s="7">
        <f t="shared" si="10"/>
        <v>1010000000</v>
      </c>
      <c r="K141" s="7">
        <f t="shared" si="9"/>
        <v>702565500</v>
      </c>
      <c r="L141" s="8" cm="1">
        <f t="array" ref="L141">IFERROR(MAX(_xlfn._xlws.FILTER(VIX_clean!$A$2:$A$152,(VIX_clean!$A$2:$A$152&lt;A141)*ISNUMBER(VIX_clean!$B$2:$B$152))),"")</f>
        <v>46310</v>
      </c>
      <c r="M141" s="10">
        <f>IF(L141="","",_xlfn.XLOOKUP(L141,VIX_clean!$A$2:$A$152,VIX_clean!$B$2:$B$152,""))</f>
        <v>16.46</v>
      </c>
      <c r="N141" s="10" t="str">
        <f t="shared" si="11"/>
        <v>OK</v>
      </c>
    </row>
    <row r="142" spans="1:14" ht="17" x14ac:dyDescent="0.25">
      <c r="A142" s="1">
        <v>46314</v>
      </c>
      <c r="B142" s="2">
        <v>8845.7000000000007</v>
      </c>
      <c r="C142" s="2">
        <v>8806.7000000000007</v>
      </c>
      <c r="D142" s="2">
        <v>8849.9</v>
      </c>
      <c r="E142" s="2">
        <v>8800.9</v>
      </c>
      <c r="F142" t="s">
        <v>14</v>
      </c>
      <c r="G142" s="3">
        <v>4.4000000000000003E-3</v>
      </c>
      <c r="H142" s="6">
        <f t="shared" si="12"/>
        <v>4.4284465236694714E-3</v>
      </c>
      <c r="I142" s="6">
        <f t="shared" si="8"/>
        <v>8.2095794711045927E-3</v>
      </c>
      <c r="J142" s="7">
        <f t="shared" si="10"/>
        <v>826930000</v>
      </c>
      <c r="K142" s="7">
        <f t="shared" si="9"/>
        <v>716323500</v>
      </c>
      <c r="L142" s="8" cm="1">
        <f t="array" ref="L142">IFERROR(MAX(_xlfn._xlws.FILTER(VIX_clean!$A$2:$A$152,(VIX_clean!$A$2:$A$152&lt;A142)*ISNUMBER(VIX_clean!$B$2:$B$152))),"")</f>
        <v>46311</v>
      </c>
      <c r="M142" s="10">
        <f>IF(L142="","",_xlfn.XLOOKUP(L142,VIX_clean!$A$2:$A$152,VIX_clean!$B$2:$B$152,""))</f>
        <v>19.989999999999998</v>
      </c>
      <c r="N142" s="10" t="str">
        <f t="shared" si="11"/>
        <v>OK</v>
      </c>
    </row>
    <row r="143" spans="1:14" ht="17" x14ac:dyDescent="0.25">
      <c r="A143" s="1">
        <v>46315</v>
      </c>
      <c r="B143" s="2">
        <v>8816.9</v>
      </c>
      <c r="C143" s="2">
        <v>8845.7000000000007</v>
      </c>
      <c r="D143" s="2">
        <v>8845.7000000000007</v>
      </c>
      <c r="E143" s="2">
        <v>8747.2999999999993</v>
      </c>
      <c r="F143" t="s">
        <v>13</v>
      </c>
      <c r="G143" s="3">
        <v>-3.3E-3</v>
      </c>
      <c r="H143" s="6">
        <f t="shared" si="12"/>
        <v>-3.2558192115944573E-3</v>
      </c>
      <c r="I143" s="6">
        <f t="shared" si="8"/>
        <v>7.9408909315100661E-3</v>
      </c>
      <c r="J143" s="7">
        <f t="shared" si="10"/>
        <v>798270000</v>
      </c>
      <c r="K143" s="7">
        <f t="shared" si="9"/>
        <v>726325000</v>
      </c>
      <c r="L143" s="8" cm="1">
        <f t="array" ref="L143">IFERROR(MAX(_xlfn._xlws.FILTER(VIX_clean!$A$2:$A$152,(VIX_clean!$A$2:$A$152&lt;A143)*ISNUMBER(VIX_clean!$B$2:$B$152))),"")</f>
        <v>46314</v>
      </c>
      <c r="M143" s="10">
        <f>IF(L143="","",_xlfn.XLOOKUP(L143,VIX_clean!$A$2:$A$152,VIX_clean!$B$2:$B$152,""))</f>
        <v>18.440000000000001</v>
      </c>
      <c r="N143" s="10" t="str">
        <f t="shared" si="11"/>
        <v>OK</v>
      </c>
    </row>
    <row r="144" spans="1:14" ht="17" x14ac:dyDescent="0.25">
      <c r="A144" s="1">
        <v>46316</v>
      </c>
      <c r="B144" s="2">
        <v>8831.2999999999993</v>
      </c>
      <c r="C144" s="2">
        <v>8816.9</v>
      </c>
      <c r="D144" s="2">
        <v>8841.9</v>
      </c>
      <c r="E144" s="2">
        <v>8795.9</v>
      </c>
      <c r="F144" t="s">
        <v>12</v>
      </c>
      <c r="G144" s="3">
        <v>1.6000000000000001E-3</v>
      </c>
      <c r="H144" s="6">
        <f t="shared" si="12"/>
        <v>1.6332270979595442E-3</v>
      </c>
      <c r="I144" s="6">
        <f t="shared" si="8"/>
        <v>5.423664409092999E-3</v>
      </c>
      <c r="J144" s="7">
        <f t="shared" si="10"/>
        <v>919160000</v>
      </c>
      <c r="K144" s="7">
        <f t="shared" si="9"/>
        <v>737328500</v>
      </c>
      <c r="L144" s="8" cm="1">
        <f t="array" ref="L144">IFERROR(MAX(_xlfn._xlws.FILTER(VIX_clean!$A$2:$A$152,(VIX_clean!$A$2:$A$152&lt;A144)*ISNUMBER(VIX_clean!$B$2:$B$152))),"")</f>
        <v>46315</v>
      </c>
      <c r="M144" s="10">
        <f>IF(L144="","",_xlfn.XLOOKUP(L144,VIX_clean!$A$2:$A$152,VIX_clean!$B$2:$B$152,""))</f>
        <v>17.309999999999999</v>
      </c>
      <c r="N144" s="10" t="str">
        <f t="shared" si="11"/>
        <v>OK</v>
      </c>
    </row>
    <row r="145" spans="1:14" ht="17" x14ac:dyDescent="0.25">
      <c r="A145" s="1">
        <v>46317</v>
      </c>
      <c r="B145" s="2">
        <v>8793.2000000000007</v>
      </c>
      <c r="C145" s="2">
        <v>8831.2999999999993</v>
      </c>
      <c r="D145" s="2">
        <v>8831.2999999999993</v>
      </c>
      <c r="E145" s="2">
        <v>8764</v>
      </c>
      <c r="F145" t="s">
        <v>11</v>
      </c>
      <c r="G145" s="3">
        <v>-4.3E-3</v>
      </c>
      <c r="H145" s="6">
        <f t="shared" si="12"/>
        <v>-4.3142006273140243E-3</v>
      </c>
      <c r="I145" s="6">
        <f t="shared" ref="I145:I149" si="13">_xlfn.STDEV.S(H132:H145)</f>
        <v>5.3514152248276417E-3</v>
      </c>
      <c r="J145" s="7">
        <f t="shared" si="10"/>
        <v>814840000</v>
      </c>
      <c r="K145" s="7">
        <f t="shared" si="9"/>
        <v>741766000</v>
      </c>
      <c r="L145" s="8" cm="1">
        <f t="array" ref="L145">IFERROR(MAX(_xlfn._xlws.FILTER(VIX_clean!$A$2:$A$152,(VIX_clean!$A$2:$A$152&lt;A145)*ISNUMBER(VIX_clean!$B$2:$B$152))),"")</f>
        <v>46316</v>
      </c>
      <c r="M145" s="10">
        <f>IF(L145="","",_xlfn.XLOOKUP(L145,VIX_clean!$A$2:$A$152,VIX_clean!$B$2:$B$152,""))</f>
        <v>16.68</v>
      </c>
      <c r="N145" s="10" t="str">
        <f t="shared" si="11"/>
        <v>OK</v>
      </c>
    </row>
    <row r="146" spans="1:14" ht="17" x14ac:dyDescent="0.25">
      <c r="A146" s="1">
        <v>46318</v>
      </c>
      <c r="B146" s="2">
        <v>8795.2000000000007</v>
      </c>
      <c r="C146" s="2">
        <v>8793.2000000000007</v>
      </c>
      <c r="D146" s="2">
        <v>8795.2000000000007</v>
      </c>
      <c r="E146" s="2">
        <v>8752.6</v>
      </c>
      <c r="F146" t="s">
        <v>10</v>
      </c>
      <c r="G146" s="3">
        <v>2.0000000000000001E-4</v>
      </c>
      <c r="H146" s="6">
        <f t="shared" si="12"/>
        <v>2.2744848291855746E-4</v>
      </c>
      <c r="I146" s="6">
        <f t="shared" si="13"/>
        <v>5.3535360420727766E-3</v>
      </c>
      <c r="J146" s="7">
        <f t="shared" si="10"/>
        <v>970670000</v>
      </c>
      <c r="K146" s="7">
        <f t="shared" si="9"/>
        <v>760804500</v>
      </c>
      <c r="L146" s="8" cm="1">
        <f t="array" ref="L146">IFERROR(MAX(_xlfn._xlws.FILTER(VIX_clean!$A$2:$A$152,(VIX_clean!$A$2:$A$152&lt;A146)*ISNUMBER(VIX_clean!$B$2:$B$152))),"")</f>
        <v>46317</v>
      </c>
      <c r="M146" s="10">
        <f>IF(L146="","",_xlfn.XLOOKUP(L146,VIX_clean!$A$2:$A$152,VIX_clean!$B$2:$B$152,""))</f>
        <v>19.03</v>
      </c>
      <c r="N146" s="10" t="str">
        <f t="shared" si="11"/>
        <v>OK</v>
      </c>
    </row>
    <row r="147" spans="1:14" ht="17" x14ac:dyDescent="0.25">
      <c r="A147" s="1">
        <v>46321</v>
      </c>
      <c r="B147" s="2">
        <v>8809.9</v>
      </c>
      <c r="C147" s="2">
        <v>8795.2000000000007</v>
      </c>
      <c r="D147" s="2">
        <v>8817.7000000000007</v>
      </c>
      <c r="E147" s="2">
        <v>8722.9</v>
      </c>
      <c r="F147" t="s">
        <v>9</v>
      </c>
      <c r="G147" s="3">
        <v>1.6999999999999999E-3</v>
      </c>
      <c r="H147" s="6">
        <f t="shared" si="12"/>
        <v>1.6713661997451723E-3</v>
      </c>
      <c r="I147" s="6">
        <f t="shared" si="13"/>
        <v>5.1831896501770792E-3</v>
      </c>
      <c r="J147" s="7">
        <f t="shared" si="10"/>
        <v>766850000</v>
      </c>
      <c r="K147" s="7">
        <f t="shared" si="9"/>
        <v>763743500</v>
      </c>
      <c r="L147" s="8" cm="1">
        <f t="array" ref="L147">IFERROR(MAX(_xlfn._xlws.FILTER(VIX_clean!$A$2:$A$152,(VIX_clean!$A$2:$A$152&lt;A147)*ISNUMBER(VIX_clean!$B$2:$B$152))),"")</f>
        <v>46318</v>
      </c>
      <c r="M147" s="10">
        <f>IF(L147="","",_xlfn.XLOOKUP(L147,VIX_clean!$A$2:$A$152,VIX_clean!$B$2:$B$152,""))</f>
        <v>19.45</v>
      </c>
      <c r="N147" s="10" t="str">
        <f t="shared" si="11"/>
        <v>OK</v>
      </c>
    </row>
    <row r="148" spans="1:14" ht="17" x14ac:dyDescent="0.25">
      <c r="A148" s="1">
        <v>46322</v>
      </c>
      <c r="B148" s="2">
        <v>8850.1</v>
      </c>
      <c r="C148" s="2">
        <v>8809.9</v>
      </c>
      <c r="D148" s="2">
        <v>8858.9</v>
      </c>
      <c r="E148" s="2">
        <v>8773.4</v>
      </c>
      <c r="F148" t="s">
        <v>8</v>
      </c>
      <c r="G148" s="3">
        <v>4.5999999999999999E-3</v>
      </c>
      <c r="H148" s="6">
        <f t="shared" si="12"/>
        <v>4.5630483887446616E-3</v>
      </c>
      <c r="I148" s="6">
        <f t="shared" si="13"/>
        <v>5.2647670810678018E-3</v>
      </c>
      <c r="J148" s="7">
        <f t="shared" si="10"/>
        <v>780710000</v>
      </c>
      <c r="K148" s="7">
        <f t="shared" si="9"/>
        <v>771409500</v>
      </c>
      <c r="L148" s="8" cm="1">
        <f t="array" ref="L148">IFERROR(MAX(_xlfn._xlws.FILTER(VIX_clean!$A$2:$A$152,(VIX_clean!$A$2:$A$152&lt;A148)*ISNUMBER(VIX_clean!$B$2:$B$152))),"")</f>
        <v>46321</v>
      </c>
      <c r="M148" s="10">
        <f>IF(L148="","",_xlfn.XLOOKUP(L148,VIX_clean!$A$2:$A$152,VIX_clean!$B$2:$B$152,""))</f>
        <v>18.39</v>
      </c>
      <c r="N148" s="10" t="str">
        <f t="shared" si="11"/>
        <v>OK</v>
      </c>
    </row>
    <row r="149" spans="1:14" ht="17" x14ac:dyDescent="0.25">
      <c r="A149" s="1">
        <v>46323</v>
      </c>
      <c r="B149" s="2">
        <v>8847.2999999999993</v>
      </c>
      <c r="C149" s="2">
        <v>8850.1</v>
      </c>
      <c r="D149" s="2">
        <v>8937</v>
      </c>
      <c r="E149" s="2">
        <v>8846.7000000000007</v>
      </c>
      <c r="F149" t="s">
        <v>7</v>
      </c>
      <c r="G149" s="3">
        <v>-2.9999999999999997E-4</v>
      </c>
      <c r="H149" s="6">
        <f t="shared" si="12"/>
        <v>-3.1638060586902661E-4</v>
      </c>
      <c r="I149" s="6">
        <f t="shared" si="13"/>
        <v>4.667489402045753E-3</v>
      </c>
      <c r="J149" s="7">
        <f t="shared" si="10"/>
        <v>823710000</v>
      </c>
      <c r="K149" s="7">
        <f t="shared" si="9"/>
        <v>764523500</v>
      </c>
      <c r="L149" s="8" cm="1">
        <f t="array" ref="L149">IFERROR(MAX(_xlfn._xlws.FILTER(VIX_clean!$A$2:$A$152,(VIX_clean!$A$2:$A$152&lt;A149)*ISNUMBER(VIX_clean!$B$2:$B$152))),"")</f>
        <v>46322</v>
      </c>
      <c r="M149" s="10">
        <f>IF(L149="","",_xlfn.XLOOKUP(L149,VIX_clean!$A$2:$A$152,VIX_clean!$B$2:$B$152,""))</f>
        <v>17.52</v>
      </c>
      <c r="N149" s="10" t="str">
        <f t="shared" si="11"/>
        <v>OK</v>
      </c>
    </row>
  </sheetData>
  <sortState xmlns:xlrd2="http://schemas.microsoft.com/office/spreadsheetml/2017/richdata2" ref="A2:G149">
    <sortCondition ref="A2:A149"/>
  </sortState>
  <conditionalFormatting sqref="A1:A149">
    <cfRule type="duplicateValues" dxfId="1" priority="1"/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30F8-665E-444B-918A-735EA2C4ECDD}">
  <dimension ref="A1:G149"/>
  <sheetViews>
    <sheetView workbookViewId="0">
      <selection activeCell="O9" sqref="O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46323</v>
      </c>
      <c r="B2" s="2">
        <v>8847.2999999999993</v>
      </c>
      <c r="C2" s="2">
        <v>8850.1</v>
      </c>
      <c r="D2" s="2">
        <v>8937</v>
      </c>
      <c r="E2" s="2">
        <v>8846.7000000000007</v>
      </c>
      <c r="F2" t="s">
        <v>7</v>
      </c>
      <c r="G2" s="3">
        <v>-2.9999999999999997E-4</v>
      </c>
    </row>
    <row r="3" spans="1:7" x14ac:dyDescent="0.2">
      <c r="A3" s="1">
        <v>46322</v>
      </c>
      <c r="B3" s="2">
        <v>8850.1</v>
      </c>
      <c r="C3" s="2">
        <v>8809.9</v>
      </c>
      <c r="D3" s="2">
        <v>8858.9</v>
      </c>
      <c r="E3" s="2">
        <v>8773.4</v>
      </c>
      <c r="F3" t="s">
        <v>8</v>
      </c>
      <c r="G3" s="3">
        <v>4.5999999999999999E-3</v>
      </c>
    </row>
    <row r="4" spans="1:7" x14ac:dyDescent="0.2">
      <c r="A4" s="1">
        <v>46321</v>
      </c>
      <c r="B4" s="2">
        <v>8809.9</v>
      </c>
      <c r="C4" s="2">
        <v>8795.2000000000007</v>
      </c>
      <c r="D4" s="2">
        <v>8817.7000000000007</v>
      </c>
      <c r="E4" s="2">
        <v>8722.9</v>
      </c>
      <c r="F4" t="s">
        <v>9</v>
      </c>
      <c r="G4" s="3">
        <v>1.6999999999999999E-3</v>
      </c>
    </row>
    <row r="5" spans="1:7" x14ac:dyDescent="0.2">
      <c r="A5" s="1">
        <v>46318</v>
      </c>
      <c r="B5" s="2">
        <v>8795.2000000000007</v>
      </c>
      <c r="C5" s="2">
        <v>8793.2000000000007</v>
      </c>
      <c r="D5" s="2">
        <v>8795.2000000000007</v>
      </c>
      <c r="E5" s="2">
        <v>8752.6</v>
      </c>
      <c r="F5" t="s">
        <v>10</v>
      </c>
      <c r="G5" s="3">
        <v>2.0000000000000001E-4</v>
      </c>
    </row>
    <row r="6" spans="1:7" x14ac:dyDescent="0.2">
      <c r="A6" s="1">
        <v>46317</v>
      </c>
      <c r="B6" s="2">
        <v>8793.2000000000007</v>
      </c>
      <c r="C6" s="2">
        <v>8831.2999999999993</v>
      </c>
      <c r="D6" s="2">
        <v>8831.2999999999993</v>
      </c>
      <c r="E6" s="2">
        <v>8764</v>
      </c>
      <c r="F6" t="s">
        <v>11</v>
      </c>
      <c r="G6" s="3">
        <v>-4.3E-3</v>
      </c>
    </row>
    <row r="7" spans="1:7" x14ac:dyDescent="0.2">
      <c r="A7" s="1">
        <v>46316</v>
      </c>
      <c r="B7" s="2">
        <v>8831.2999999999993</v>
      </c>
      <c r="C7" s="2">
        <v>8816.9</v>
      </c>
      <c r="D7" s="2">
        <v>8841.9</v>
      </c>
      <c r="E7" s="2">
        <v>8795.9</v>
      </c>
      <c r="F7" t="s">
        <v>12</v>
      </c>
      <c r="G7" s="3">
        <v>1.6000000000000001E-3</v>
      </c>
    </row>
    <row r="8" spans="1:7" x14ac:dyDescent="0.2">
      <c r="A8" s="1">
        <v>46315</v>
      </c>
      <c r="B8" s="2">
        <v>8816.9</v>
      </c>
      <c r="C8" s="2">
        <v>8845.7000000000007</v>
      </c>
      <c r="D8" s="2">
        <v>8845.7000000000007</v>
      </c>
      <c r="E8" s="2">
        <v>8747.2999999999993</v>
      </c>
      <c r="F8" t="s">
        <v>13</v>
      </c>
      <c r="G8" s="3">
        <v>-3.3E-3</v>
      </c>
    </row>
    <row r="9" spans="1:7" x14ac:dyDescent="0.2">
      <c r="A9" s="1">
        <v>46314</v>
      </c>
      <c r="B9" s="2">
        <v>8845.7000000000007</v>
      </c>
      <c r="C9" s="2">
        <v>8806.7000000000007</v>
      </c>
      <c r="D9" s="2">
        <v>8849.9</v>
      </c>
      <c r="E9" s="2">
        <v>8800.9</v>
      </c>
      <c r="F9" t="s">
        <v>14</v>
      </c>
      <c r="G9" s="3">
        <v>4.4000000000000003E-3</v>
      </c>
    </row>
    <row r="10" spans="1:7" x14ac:dyDescent="0.2">
      <c r="A10" s="1">
        <v>46311</v>
      </c>
      <c r="B10" s="2">
        <v>8806.7000000000007</v>
      </c>
      <c r="C10" s="2">
        <v>8719.7000000000007</v>
      </c>
      <c r="D10" s="2">
        <v>8824.5</v>
      </c>
      <c r="E10" s="2">
        <v>8719.7000000000007</v>
      </c>
      <c r="F10" t="s">
        <v>15</v>
      </c>
      <c r="G10" s="3">
        <v>0.01</v>
      </c>
    </row>
    <row r="11" spans="1:7" x14ac:dyDescent="0.2">
      <c r="A11" s="1">
        <v>46310</v>
      </c>
      <c r="B11" s="2">
        <v>8719.7000000000007</v>
      </c>
      <c r="C11" s="2">
        <v>8727.9</v>
      </c>
      <c r="D11" s="2">
        <v>8735.9</v>
      </c>
      <c r="E11" s="2">
        <v>8641.1</v>
      </c>
      <c r="F11" t="s">
        <v>16</v>
      </c>
      <c r="G11" s="3">
        <v>-8.9999999999999998E-4</v>
      </c>
    </row>
    <row r="12" spans="1:7" x14ac:dyDescent="0.2">
      <c r="A12" s="1">
        <v>46309</v>
      </c>
      <c r="B12" s="2">
        <v>8727.9</v>
      </c>
      <c r="C12" s="2">
        <v>8783.9</v>
      </c>
      <c r="D12" s="2">
        <v>8783.9</v>
      </c>
      <c r="E12" s="2">
        <v>8698.2999999999993</v>
      </c>
      <c r="F12" t="s">
        <v>16</v>
      </c>
      <c r="G12" s="3">
        <v>-6.4000000000000003E-3</v>
      </c>
    </row>
    <row r="13" spans="1:7" x14ac:dyDescent="0.2">
      <c r="A13" s="1">
        <v>46308</v>
      </c>
      <c r="B13" s="2">
        <v>8783.9</v>
      </c>
      <c r="C13" s="2">
        <v>8783.2000000000007</v>
      </c>
      <c r="D13" s="2">
        <v>8800.7000000000007</v>
      </c>
      <c r="E13" s="2">
        <v>8738.7999999999993</v>
      </c>
      <c r="F13" t="s">
        <v>16</v>
      </c>
      <c r="G13" s="3">
        <v>1E-4</v>
      </c>
    </row>
    <row r="14" spans="1:7" x14ac:dyDescent="0.2">
      <c r="A14" s="1">
        <v>46307</v>
      </c>
      <c r="B14" s="2">
        <v>8783.2000000000007</v>
      </c>
      <c r="C14" s="2">
        <v>8716.6</v>
      </c>
      <c r="D14" s="2">
        <v>8793.9</v>
      </c>
      <c r="E14" s="2">
        <v>8716.6</v>
      </c>
      <c r="F14" t="s">
        <v>16</v>
      </c>
      <c r="G14" s="3">
        <v>7.6E-3</v>
      </c>
    </row>
    <row r="15" spans="1:7" x14ac:dyDescent="0.2">
      <c r="A15" s="1">
        <v>46304</v>
      </c>
      <c r="B15" s="2">
        <v>8716.6</v>
      </c>
      <c r="C15" s="2">
        <v>8660.9</v>
      </c>
      <c r="D15" s="2">
        <v>8716.6</v>
      </c>
      <c r="E15" s="2">
        <v>8660.9</v>
      </c>
      <c r="F15" t="s">
        <v>16</v>
      </c>
      <c r="G15" s="3">
        <v>6.4000000000000003E-3</v>
      </c>
    </row>
    <row r="16" spans="1:7" x14ac:dyDescent="0.2">
      <c r="A16" s="1">
        <v>46303</v>
      </c>
      <c r="B16" s="2">
        <v>8660.9</v>
      </c>
      <c r="C16" s="2">
        <v>8727.7000000000007</v>
      </c>
      <c r="D16" s="2">
        <v>8727.7000000000007</v>
      </c>
      <c r="E16" s="2">
        <v>8658.7000000000007</v>
      </c>
      <c r="F16" t="s">
        <v>17</v>
      </c>
      <c r="G16" s="3">
        <v>-7.7000000000000002E-3</v>
      </c>
    </row>
    <row r="17" spans="1:7" x14ac:dyDescent="0.2">
      <c r="A17" s="1">
        <v>46302</v>
      </c>
      <c r="B17" s="2">
        <v>8727.7000000000007</v>
      </c>
      <c r="C17" s="2">
        <v>8735.7000000000007</v>
      </c>
      <c r="D17" s="2">
        <v>8753.9</v>
      </c>
      <c r="E17" s="2">
        <v>8703.2999999999993</v>
      </c>
      <c r="F17" t="s">
        <v>18</v>
      </c>
      <c r="G17" s="3">
        <v>-8.9999999999999998E-4</v>
      </c>
    </row>
    <row r="18" spans="1:7" x14ac:dyDescent="0.2">
      <c r="A18" s="1">
        <v>46301</v>
      </c>
      <c r="B18" s="2">
        <v>8735.7000000000007</v>
      </c>
      <c r="C18" s="2">
        <v>8686.4</v>
      </c>
      <c r="D18" s="2">
        <v>8753</v>
      </c>
      <c r="E18" s="2">
        <v>8686.4</v>
      </c>
      <c r="F18" t="s">
        <v>19</v>
      </c>
      <c r="G18" s="3">
        <v>5.7000000000000002E-3</v>
      </c>
    </row>
    <row r="19" spans="1:7" x14ac:dyDescent="0.2">
      <c r="A19" s="1">
        <v>46300</v>
      </c>
      <c r="B19" s="2">
        <v>8686.4</v>
      </c>
      <c r="C19" s="2">
        <v>8682.1</v>
      </c>
      <c r="D19" s="2">
        <v>8735.6</v>
      </c>
      <c r="E19" s="2">
        <v>8678.2000000000007</v>
      </c>
      <c r="F19" t="s">
        <v>20</v>
      </c>
      <c r="G19" s="3">
        <v>5.0000000000000001E-4</v>
      </c>
    </row>
    <row r="20" spans="1:7" x14ac:dyDescent="0.2">
      <c r="A20" s="1">
        <v>46297</v>
      </c>
      <c r="B20" s="2">
        <v>8682.1</v>
      </c>
      <c r="C20" s="2">
        <v>8614.4</v>
      </c>
      <c r="D20" s="2">
        <v>8682.1</v>
      </c>
      <c r="E20" s="2">
        <v>8614.4</v>
      </c>
      <c r="F20" t="s">
        <v>21</v>
      </c>
      <c r="G20" s="3">
        <v>7.9000000000000008E-3</v>
      </c>
    </row>
    <row r="21" spans="1:7" x14ac:dyDescent="0.2">
      <c r="A21" s="1">
        <v>46296</v>
      </c>
      <c r="B21" s="2">
        <v>8614.4</v>
      </c>
      <c r="C21" s="2">
        <v>8789.2999999999993</v>
      </c>
      <c r="D21" s="2">
        <v>8789.2999999999993</v>
      </c>
      <c r="E21" s="2">
        <v>8613.2000000000007</v>
      </c>
      <c r="F21" t="s">
        <v>22</v>
      </c>
      <c r="G21" s="3">
        <v>-1.9900000000000001E-2</v>
      </c>
    </row>
    <row r="22" spans="1:7" x14ac:dyDescent="0.2">
      <c r="A22" s="1">
        <v>46295</v>
      </c>
      <c r="B22" s="2">
        <v>8789.2999999999993</v>
      </c>
      <c r="C22" s="2">
        <v>8709.2999999999993</v>
      </c>
      <c r="D22" s="2">
        <v>8808.4</v>
      </c>
      <c r="E22" s="2">
        <v>8696.7999999999993</v>
      </c>
      <c r="F22" t="s">
        <v>23</v>
      </c>
      <c r="G22" s="3">
        <v>9.1999999999999998E-3</v>
      </c>
    </row>
    <row r="23" spans="1:7" x14ac:dyDescent="0.2">
      <c r="A23" s="1">
        <v>46294</v>
      </c>
      <c r="B23" s="2">
        <v>8709.2999999999993</v>
      </c>
      <c r="C23" s="2">
        <v>8679.7000000000007</v>
      </c>
      <c r="D23" s="2">
        <v>8709.2999999999993</v>
      </c>
      <c r="E23" s="2">
        <v>8661</v>
      </c>
      <c r="F23" t="s">
        <v>24</v>
      </c>
      <c r="G23" s="3">
        <v>3.3999999999999998E-3</v>
      </c>
    </row>
    <row r="24" spans="1:7" x14ac:dyDescent="0.2">
      <c r="A24" s="1">
        <v>46293</v>
      </c>
      <c r="B24" s="2">
        <v>8679.7000000000007</v>
      </c>
      <c r="C24" s="2">
        <v>8665</v>
      </c>
      <c r="D24" s="2">
        <v>8709.2999999999993</v>
      </c>
      <c r="E24" s="2">
        <v>8665</v>
      </c>
      <c r="F24" t="s">
        <v>25</v>
      </c>
      <c r="G24" s="3">
        <v>1.6999999999999999E-3</v>
      </c>
    </row>
    <row r="25" spans="1:7" x14ac:dyDescent="0.2">
      <c r="A25" s="1">
        <v>46290</v>
      </c>
      <c r="B25" s="2">
        <v>8665</v>
      </c>
      <c r="C25" s="2">
        <v>8702</v>
      </c>
      <c r="D25" s="2">
        <v>8702</v>
      </c>
      <c r="E25" s="2">
        <v>8639.9</v>
      </c>
      <c r="F25" t="s">
        <v>26</v>
      </c>
      <c r="G25" s="3">
        <v>-4.3E-3</v>
      </c>
    </row>
    <row r="26" spans="1:7" x14ac:dyDescent="0.2">
      <c r="A26" s="1">
        <v>46289</v>
      </c>
      <c r="B26" s="2">
        <v>8702</v>
      </c>
      <c r="C26" s="2">
        <v>8765.2999999999993</v>
      </c>
      <c r="D26" s="2">
        <v>8765.2999999999993</v>
      </c>
      <c r="E26" s="2">
        <v>8645.7000000000007</v>
      </c>
      <c r="F26" t="s">
        <v>27</v>
      </c>
      <c r="G26" s="3">
        <v>-7.1999999999999998E-3</v>
      </c>
    </row>
    <row r="27" spans="1:7" x14ac:dyDescent="0.2">
      <c r="A27" s="1">
        <v>46288</v>
      </c>
      <c r="B27" s="2">
        <v>8765.2999999999993</v>
      </c>
      <c r="C27" s="2">
        <v>8757.7999999999993</v>
      </c>
      <c r="D27" s="2">
        <v>8791.9</v>
      </c>
      <c r="E27" s="2">
        <v>8742.7000000000007</v>
      </c>
      <c r="F27" t="s">
        <v>28</v>
      </c>
      <c r="G27" s="3">
        <v>8.9999999999999998E-4</v>
      </c>
    </row>
    <row r="28" spans="1:7" x14ac:dyDescent="0.2">
      <c r="A28" s="1">
        <v>46287</v>
      </c>
      <c r="B28" s="2">
        <v>8757.7999999999993</v>
      </c>
      <c r="C28" s="2">
        <v>8731.9</v>
      </c>
      <c r="D28" s="2">
        <v>8780.7999999999993</v>
      </c>
      <c r="E28" s="2">
        <v>8725.7000000000007</v>
      </c>
      <c r="F28" t="s">
        <v>29</v>
      </c>
      <c r="G28" s="3">
        <v>3.0000000000000001E-3</v>
      </c>
    </row>
    <row r="29" spans="1:7" x14ac:dyDescent="0.2">
      <c r="A29" s="1">
        <v>46286</v>
      </c>
      <c r="B29" s="2">
        <v>8731.9</v>
      </c>
      <c r="C29" s="2">
        <v>8731.2000000000007</v>
      </c>
      <c r="D29" s="2">
        <v>8736.5</v>
      </c>
      <c r="E29" s="2">
        <v>8681.1</v>
      </c>
      <c r="F29" t="s">
        <v>30</v>
      </c>
      <c r="G29" s="3">
        <v>1E-4</v>
      </c>
    </row>
    <row r="30" spans="1:7" x14ac:dyDescent="0.2">
      <c r="A30" s="1">
        <v>46283</v>
      </c>
      <c r="B30" s="2">
        <v>8731.2000000000007</v>
      </c>
      <c r="C30" s="2">
        <v>8732.4</v>
      </c>
      <c r="D30" s="2">
        <v>8771.6</v>
      </c>
      <c r="E30" s="2">
        <v>8717</v>
      </c>
      <c r="F30" t="s">
        <v>31</v>
      </c>
      <c r="G30" s="3">
        <v>-1E-4</v>
      </c>
    </row>
    <row r="31" spans="1:7" x14ac:dyDescent="0.2">
      <c r="A31" s="1">
        <v>46282</v>
      </c>
      <c r="B31" s="2">
        <v>8732.4</v>
      </c>
      <c r="C31" s="2">
        <v>8696.5</v>
      </c>
      <c r="D31" s="2">
        <v>8787.1</v>
      </c>
      <c r="E31" s="2">
        <v>8696.5</v>
      </c>
      <c r="F31" t="s">
        <v>32</v>
      </c>
      <c r="G31" s="3">
        <v>4.1000000000000003E-3</v>
      </c>
    </row>
    <row r="32" spans="1:7" x14ac:dyDescent="0.2">
      <c r="A32" s="1">
        <v>46281</v>
      </c>
      <c r="B32" s="2">
        <v>8696.5</v>
      </c>
      <c r="C32" s="2">
        <v>8672.5</v>
      </c>
      <c r="D32" s="2">
        <v>8705.6</v>
      </c>
      <c r="E32" s="2">
        <v>8668.1</v>
      </c>
      <c r="F32" t="s">
        <v>33</v>
      </c>
      <c r="G32" s="3">
        <v>2.8E-3</v>
      </c>
    </row>
    <row r="33" spans="1:7" x14ac:dyDescent="0.2">
      <c r="A33" s="1">
        <v>46280</v>
      </c>
      <c r="B33" s="2">
        <v>8672.5</v>
      </c>
      <c r="C33" s="2">
        <v>8749.9</v>
      </c>
      <c r="D33" s="2">
        <v>8749.9</v>
      </c>
      <c r="E33" s="2">
        <v>8657.1</v>
      </c>
      <c r="F33" t="s">
        <v>34</v>
      </c>
      <c r="G33" s="3">
        <v>-8.8000000000000005E-3</v>
      </c>
    </row>
    <row r="34" spans="1:7" x14ac:dyDescent="0.2">
      <c r="A34" s="1">
        <v>46279</v>
      </c>
      <c r="B34" s="2">
        <v>8749.9</v>
      </c>
      <c r="C34" s="2">
        <v>8741.2000000000007</v>
      </c>
      <c r="D34" s="2">
        <v>8768.2999999999993</v>
      </c>
      <c r="E34" s="2">
        <v>8734</v>
      </c>
      <c r="F34" t="s">
        <v>35</v>
      </c>
      <c r="G34" s="3">
        <v>1E-3</v>
      </c>
    </row>
    <row r="35" spans="1:7" x14ac:dyDescent="0.2">
      <c r="A35" s="1">
        <v>46276</v>
      </c>
      <c r="B35" s="2">
        <v>8741.2000000000007</v>
      </c>
      <c r="C35" s="2">
        <v>8819.4</v>
      </c>
      <c r="D35" s="2">
        <v>8819.4</v>
      </c>
      <c r="E35" s="2">
        <v>8699.7999999999993</v>
      </c>
      <c r="F35" t="s">
        <v>36</v>
      </c>
      <c r="G35" s="3">
        <v>-8.8999999999999999E-3</v>
      </c>
    </row>
    <row r="36" spans="1:7" x14ac:dyDescent="0.2">
      <c r="A36" s="1">
        <v>46275</v>
      </c>
      <c r="B36" s="2">
        <v>8819.4</v>
      </c>
      <c r="C36" s="2">
        <v>8911.4</v>
      </c>
      <c r="D36" s="2">
        <v>8911.4</v>
      </c>
      <c r="E36" s="2">
        <v>8742.6</v>
      </c>
      <c r="F36" t="s">
        <v>37</v>
      </c>
      <c r="G36" s="3">
        <v>-1.03E-2</v>
      </c>
    </row>
    <row r="37" spans="1:7" x14ac:dyDescent="0.2">
      <c r="A37" s="1">
        <v>46274</v>
      </c>
      <c r="B37" s="2">
        <v>8911.4</v>
      </c>
      <c r="C37" s="2">
        <v>8920.7999999999993</v>
      </c>
      <c r="D37" s="2">
        <v>8951</v>
      </c>
      <c r="E37" s="2">
        <v>8888.7999999999993</v>
      </c>
      <c r="F37" t="s">
        <v>38</v>
      </c>
      <c r="G37" s="3">
        <v>-1.1000000000000001E-3</v>
      </c>
    </row>
    <row r="38" spans="1:7" x14ac:dyDescent="0.2">
      <c r="A38" s="1">
        <v>46273</v>
      </c>
      <c r="B38" s="2">
        <v>8920.7999999999993</v>
      </c>
      <c r="C38" s="2">
        <v>9010.9</v>
      </c>
      <c r="D38" s="2">
        <v>9010.9</v>
      </c>
      <c r="E38" s="2">
        <v>8914.5</v>
      </c>
      <c r="F38" t="s">
        <v>39</v>
      </c>
      <c r="G38" s="3">
        <v>-0.01</v>
      </c>
    </row>
    <row r="39" spans="1:7" x14ac:dyDescent="0.2">
      <c r="A39" s="1">
        <v>46272</v>
      </c>
      <c r="B39" s="2">
        <v>9010.9</v>
      </c>
      <c r="C39" s="2">
        <v>9005.9</v>
      </c>
      <c r="D39" s="2">
        <v>9044.5</v>
      </c>
      <c r="E39" s="2">
        <v>8999.4</v>
      </c>
      <c r="F39" t="s">
        <v>40</v>
      </c>
      <c r="G39" s="3">
        <v>5.9999999999999995E-4</v>
      </c>
    </row>
    <row r="40" spans="1:7" x14ac:dyDescent="0.2">
      <c r="A40" s="1">
        <v>46269</v>
      </c>
      <c r="B40" s="2">
        <v>9005.9</v>
      </c>
      <c r="C40" s="2">
        <v>9020.1</v>
      </c>
      <c r="D40" s="2">
        <v>9070.2000000000007</v>
      </c>
      <c r="E40" s="2">
        <v>8997.5</v>
      </c>
      <c r="F40" t="s">
        <v>41</v>
      </c>
      <c r="G40" s="3">
        <v>-1.6000000000000001E-3</v>
      </c>
    </row>
    <row r="41" spans="1:7" x14ac:dyDescent="0.2">
      <c r="A41" s="1">
        <v>46268</v>
      </c>
      <c r="B41" s="2">
        <v>9020.1</v>
      </c>
      <c r="C41" s="2">
        <v>8978.4</v>
      </c>
      <c r="D41" s="2">
        <v>9027.9</v>
      </c>
      <c r="E41" s="2">
        <v>8970.2999999999993</v>
      </c>
      <c r="F41" t="s">
        <v>42</v>
      </c>
      <c r="G41" s="3">
        <v>4.5999999999999999E-3</v>
      </c>
    </row>
    <row r="42" spans="1:7" x14ac:dyDescent="0.2">
      <c r="A42" s="1">
        <v>46267</v>
      </c>
      <c r="B42" s="2">
        <v>8978.4</v>
      </c>
      <c r="C42" s="2">
        <v>9066.7000000000007</v>
      </c>
      <c r="D42" s="2">
        <v>9066.7000000000007</v>
      </c>
      <c r="E42" s="2">
        <v>8935.1</v>
      </c>
      <c r="F42" t="s">
        <v>43</v>
      </c>
      <c r="G42" s="3">
        <v>-9.7000000000000003E-3</v>
      </c>
    </row>
    <row r="43" spans="1:7" x14ac:dyDescent="0.2">
      <c r="A43" s="1">
        <v>46266</v>
      </c>
      <c r="B43" s="2">
        <v>9066.7000000000007</v>
      </c>
      <c r="C43" s="2">
        <v>9076</v>
      </c>
      <c r="D43" s="2">
        <v>9076</v>
      </c>
      <c r="E43" s="2">
        <v>9023.7999999999993</v>
      </c>
      <c r="F43" t="s">
        <v>44</v>
      </c>
      <c r="G43" s="3">
        <v>-1E-3</v>
      </c>
    </row>
    <row r="44" spans="1:7" x14ac:dyDescent="0.2">
      <c r="A44" s="1">
        <v>46265</v>
      </c>
      <c r="B44" s="2">
        <v>9076</v>
      </c>
      <c r="C44" s="2">
        <v>9092.2999999999993</v>
      </c>
      <c r="D44" s="2">
        <v>9122.7000000000007</v>
      </c>
      <c r="E44" s="2">
        <v>9055.7999999999993</v>
      </c>
      <c r="F44" t="s">
        <v>45</v>
      </c>
      <c r="G44" s="3">
        <v>-1.8E-3</v>
      </c>
    </row>
    <row r="45" spans="1:7" x14ac:dyDescent="0.2">
      <c r="A45" s="1">
        <v>46262</v>
      </c>
      <c r="B45" s="2">
        <v>9092.2999999999993</v>
      </c>
      <c r="C45" s="2">
        <v>9038.2000000000007</v>
      </c>
      <c r="D45" s="2">
        <v>9092.2999999999993</v>
      </c>
      <c r="E45" s="2">
        <v>9038.2000000000007</v>
      </c>
      <c r="F45" t="s">
        <v>46</v>
      </c>
      <c r="G45" s="3">
        <v>6.0000000000000001E-3</v>
      </c>
    </row>
    <row r="46" spans="1:7" x14ac:dyDescent="0.2">
      <c r="A46" s="1">
        <v>46261</v>
      </c>
      <c r="B46" s="2">
        <v>9038.2000000000007</v>
      </c>
      <c r="C46" s="2">
        <v>9127.7999999999993</v>
      </c>
      <c r="D46" s="2">
        <v>9127.7999999999993</v>
      </c>
      <c r="E46" s="2">
        <v>9028.2999999999993</v>
      </c>
      <c r="F46" t="s">
        <v>47</v>
      </c>
      <c r="G46" s="3">
        <v>-9.7999999999999997E-3</v>
      </c>
    </row>
    <row r="47" spans="1:7" x14ac:dyDescent="0.2">
      <c r="A47" s="1">
        <v>46260</v>
      </c>
      <c r="B47" s="2">
        <v>9127.7999999999993</v>
      </c>
      <c r="C47" s="2">
        <v>9164.6</v>
      </c>
      <c r="D47" s="2">
        <v>9220.6</v>
      </c>
      <c r="E47" s="2">
        <v>9127.7999999999993</v>
      </c>
      <c r="F47" t="s">
        <v>48</v>
      </c>
      <c r="G47" s="3">
        <v>-4.0000000000000001E-3</v>
      </c>
    </row>
    <row r="48" spans="1:7" x14ac:dyDescent="0.2">
      <c r="A48" s="1">
        <v>46259</v>
      </c>
      <c r="B48" s="2">
        <v>9164.6</v>
      </c>
      <c r="C48" s="2">
        <v>9103.1</v>
      </c>
      <c r="D48" s="2">
        <v>9179.9</v>
      </c>
      <c r="E48" s="2">
        <v>9103.1</v>
      </c>
      <c r="F48" t="s">
        <v>49</v>
      </c>
      <c r="G48" s="3">
        <v>6.7999999999999996E-3</v>
      </c>
    </row>
    <row r="49" spans="1:7" x14ac:dyDescent="0.2">
      <c r="A49" s="1">
        <v>46258</v>
      </c>
      <c r="B49" s="2">
        <v>9103.1</v>
      </c>
      <c r="C49" s="2">
        <v>9058.9</v>
      </c>
      <c r="D49" s="2">
        <v>9131.2999999999993</v>
      </c>
      <c r="E49" s="2">
        <v>9058.9</v>
      </c>
      <c r="F49" t="s">
        <v>50</v>
      </c>
      <c r="G49" s="3">
        <v>4.8999999999999998E-3</v>
      </c>
    </row>
    <row r="50" spans="1:7" x14ac:dyDescent="0.2">
      <c r="A50" s="1">
        <v>46255</v>
      </c>
      <c r="B50" s="2">
        <v>9058.9</v>
      </c>
      <c r="C50" s="2">
        <v>9083.7999999999993</v>
      </c>
      <c r="D50" s="2">
        <v>9083.7999999999993</v>
      </c>
      <c r="E50" s="2">
        <v>9045</v>
      </c>
      <c r="F50" t="s">
        <v>51</v>
      </c>
      <c r="G50" s="3">
        <v>-2.7000000000000001E-3</v>
      </c>
    </row>
    <row r="51" spans="1:7" x14ac:dyDescent="0.2">
      <c r="A51" s="1">
        <v>46254</v>
      </c>
      <c r="B51" s="2">
        <v>9083.7999999999993</v>
      </c>
      <c r="C51" s="2">
        <v>9053.7999999999993</v>
      </c>
      <c r="D51" s="2">
        <v>9111.2000000000007</v>
      </c>
      <c r="E51" s="2">
        <v>9053.7999999999993</v>
      </c>
      <c r="F51" t="s">
        <v>52</v>
      </c>
      <c r="G51" s="3">
        <v>3.3E-3</v>
      </c>
    </row>
    <row r="52" spans="1:7" x14ac:dyDescent="0.2">
      <c r="A52" s="1">
        <v>46253</v>
      </c>
      <c r="B52" s="2">
        <v>9053.7999999999993</v>
      </c>
      <c r="C52" s="2">
        <v>9070</v>
      </c>
      <c r="D52" s="2">
        <v>9070</v>
      </c>
      <c r="E52" s="2">
        <v>9019.5</v>
      </c>
      <c r="F52" t="s">
        <v>53</v>
      </c>
      <c r="G52" s="3">
        <v>-1.8E-3</v>
      </c>
    </row>
    <row r="53" spans="1:7" x14ac:dyDescent="0.2">
      <c r="A53" s="1">
        <v>46252</v>
      </c>
      <c r="B53" s="2">
        <v>9070</v>
      </c>
      <c r="C53" s="2">
        <v>9073.2000000000007</v>
      </c>
      <c r="D53" s="2">
        <v>9106.6</v>
      </c>
      <c r="E53" s="2">
        <v>9054.5</v>
      </c>
      <c r="F53" t="s">
        <v>54</v>
      </c>
      <c r="G53" s="3">
        <v>-4.0000000000000002E-4</v>
      </c>
    </row>
    <row r="54" spans="1:7" x14ac:dyDescent="0.2">
      <c r="A54" s="1">
        <v>46251</v>
      </c>
      <c r="B54" s="2">
        <v>9073.2000000000007</v>
      </c>
      <c r="C54" s="2">
        <v>9115.2000000000007</v>
      </c>
      <c r="D54" s="2">
        <v>9115.2000000000007</v>
      </c>
      <c r="E54" s="2">
        <v>9065.1</v>
      </c>
      <c r="F54" t="s">
        <v>55</v>
      </c>
      <c r="G54" s="3">
        <v>-4.5999999999999999E-3</v>
      </c>
    </row>
    <row r="55" spans="1:7" x14ac:dyDescent="0.2">
      <c r="A55" s="1">
        <v>46248</v>
      </c>
      <c r="B55" s="2">
        <v>9115.2000000000007</v>
      </c>
      <c r="C55" s="2">
        <v>9188.5</v>
      </c>
      <c r="D55" s="2">
        <v>9188.5</v>
      </c>
      <c r="E55" s="2">
        <v>9090.5</v>
      </c>
      <c r="F55" t="s">
        <v>56</v>
      </c>
      <c r="G55" s="3">
        <v>-8.0000000000000002E-3</v>
      </c>
    </row>
    <row r="56" spans="1:7" x14ac:dyDescent="0.2">
      <c r="A56" s="1">
        <v>46247</v>
      </c>
      <c r="B56" s="2">
        <v>9188.5</v>
      </c>
      <c r="C56" s="2">
        <v>9209.4</v>
      </c>
      <c r="D56" s="2">
        <v>9209.4</v>
      </c>
      <c r="E56" s="2">
        <v>9141.2999999999993</v>
      </c>
      <c r="F56" t="s">
        <v>57</v>
      </c>
      <c r="G56" s="3">
        <v>-2.3E-3</v>
      </c>
    </row>
    <row r="57" spans="1:7" x14ac:dyDescent="0.2">
      <c r="A57" s="1">
        <v>46246</v>
      </c>
      <c r="B57" s="2">
        <v>9209.4</v>
      </c>
      <c r="C57" s="2">
        <v>9250.6</v>
      </c>
      <c r="D57" s="2">
        <v>9250.6</v>
      </c>
      <c r="E57" s="2">
        <v>9185.5</v>
      </c>
      <c r="F57" t="s">
        <v>58</v>
      </c>
      <c r="G57" s="3">
        <v>-4.4999999999999997E-3</v>
      </c>
    </row>
    <row r="58" spans="1:7" x14ac:dyDescent="0.2">
      <c r="A58" s="1">
        <v>46245</v>
      </c>
      <c r="B58" s="2">
        <v>9250.6</v>
      </c>
      <c r="C58" s="2">
        <v>9232.6</v>
      </c>
      <c r="D58" s="2">
        <v>9282.9</v>
      </c>
      <c r="E58" s="2">
        <v>9232.6</v>
      </c>
      <c r="F58" t="s">
        <v>59</v>
      </c>
      <c r="G58" s="3">
        <v>1.9E-3</v>
      </c>
    </row>
    <row r="59" spans="1:7" x14ac:dyDescent="0.2">
      <c r="A59" s="1">
        <v>46244</v>
      </c>
      <c r="B59" s="2">
        <v>9232.6</v>
      </c>
      <c r="C59" s="2">
        <v>9263.6</v>
      </c>
      <c r="D59" s="2">
        <v>9267.2999999999993</v>
      </c>
      <c r="E59" s="2">
        <v>9204.5</v>
      </c>
      <c r="F59" t="s">
        <v>60</v>
      </c>
      <c r="G59" s="3">
        <v>-3.3E-3</v>
      </c>
    </row>
    <row r="60" spans="1:7" x14ac:dyDescent="0.2">
      <c r="A60" s="1">
        <v>46241</v>
      </c>
      <c r="B60" s="2">
        <v>9263.6</v>
      </c>
      <c r="C60" s="2">
        <v>9271.6</v>
      </c>
      <c r="D60" s="2">
        <v>9274.7000000000007</v>
      </c>
      <c r="E60" s="2">
        <v>9216.7000000000007</v>
      </c>
      <c r="F60" t="s">
        <v>61</v>
      </c>
      <c r="G60" s="3">
        <v>-8.9999999999999998E-4</v>
      </c>
    </row>
    <row r="61" spans="1:7" x14ac:dyDescent="0.2">
      <c r="A61" s="1">
        <v>46240</v>
      </c>
      <c r="B61" s="2">
        <v>9271.6</v>
      </c>
      <c r="C61" s="2">
        <v>9227.7999999999993</v>
      </c>
      <c r="D61" s="2">
        <v>9296.7000000000007</v>
      </c>
      <c r="E61" s="2">
        <v>9227.7999999999993</v>
      </c>
      <c r="F61" t="s">
        <v>62</v>
      </c>
      <c r="G61" s="3">
        <v>4.7000000000000002E-3</v>
      </c>
    </row>
    <row r="62" spans="1:7" x14ac:dyDescent="0.2">
      <c r="A62" s="1">
        <v>46239</v>
      </c>
      <c r="B62" s="2">
        <v>9227.7999999999993</v>
      </c>
      <c r="C62" s="2">
        <v>9145.7999999999993</v>
      </c>
      <c r="D62" s="2">
        <v>9230</v>
      </c>
      <c r="E62" s="2">
        <v>9138</v>
      </c>
      <c r="F62" t="s">
        <v>63</v>
      </c>
      <c r="G62" s="3">
        <v>8.9999999999999993E-3</v>
      </c>
    </row>
    <row r="63" spans="1:7" x14ac:dyDescent="0.2">
      <c r="A63" s="1">
        <v>46238</v>
      </c>
      <c r="B63" s="2">
        <v>9145.7999999999993</v>
      </c>
      <c r="C63" s="2">
        <v>9019.2999999999993</v>
      </c>
      <c r="D63" s="2">
        <v>9145.7999999999993</v>
      </c>
      <c r="E63" s="2">
        <v>9019.2999999999993</v>
      </c>
      <c r="F63" t="s">
        <v>64</v>
      </c>
      <c r="G63" s="3">
        <v>1.4E-2</v>
      </c>
    </row>
    <row r="64" spans="1:7" x14ac:dyDescent="0.2">
      <c r="A64" s="1">
        <v>46237</v>
      </c>
      <c r="B64" s="2">
        <v>9019.2999999999993</v>
      </c>
      <c r="C64" s="2">
        <v>8976.7999999999993</v>
      </c>
      <c r="D64" s="2">
        <v>9019.2999999999993</v>
      </c>
      <c r="E64" s="2">
        <v>8940.4</v>
      </c>
      <c r="F64" t="s">
        <v>65</v>
      </c>
      <c r="G64" s="3">
        <v>4.7000000000000002E-3</v>
      </c>
    </row>
    <row r="65" spans="1:7" x14ac:dyDescent="0.2">
      <c r="A65" s="1">
        <v>46234</v>
      </c>
      <c r="B65" s="2">
        <v>8976.7999999999993</v>
      </c>
      <c r="C65" s="2">
        <v>8967.7000000000007</v>
      </c>
      <c r="D65" s="2">
        <v>9059.7999999999993</v>
      </c>
      <c r="E65" s="2">
        <v>8967.7000000000007</v>
      </c>
      <c r="F65" t="s">
        <v>66</v>
      </c>
      <c r="G65" s="3">
        <v>1E-3</v>
      </c>
    </row>
    <row r="66" spans="1:7" x14ac:dyDescent="0.2">
      <c r="A66" s="1">
        <v>46233</v>
      </c>
      <c r="B66" s="2">
        <v>8967.7000000000007</v>
      </c>
      <c r="C66" s="2">
        <v>9038.6</v>
      </c>
      <c r="D66" s="2">
        <v>9038.6</v>
      </c>
      <c r="E66" s="2">
        <v>8951.2999999999993</v>
      </c>
      <c r="F66" t="s">
        <v>67</v>
      </c>
      <c r="G66" s="3">
        <v>-7.7999999999999996E-3</v>
      </c>
    </row>
    <row r="67" spans="1:7" x14ac:dyDescent="0.2">
      <c r="A67" s="1">
        <v>46232</v>
      </c>
      <c r="B67" s="2">
        <v>9038.6</v>
      </c>
      <c r="C67" s="2">
        <v>8947.7999999999993</v>
      </c>
      <c r="D67" s="2">
        <v>9086.1</v>
      </c>
      <c r="E67" s="2">
        <v>8947.7999999999993</v>
      </c>
      <c r="F67" t="s">
        <v>68</v>
      </c>
      <c r="G67" s="3">
        <v>1.01E-2</v>
      </c>
    </row>
    <row r="68" spans="1:7" x14ac:dyDescent="0.2">
      <c r="A68" s="1">
        <v>46231</v>
      </c>
      <c r="B68" s="2">
        <v>8947.7999999999993</v>
      </c>
      <c r="C68" s="2">
        <v>8894</v>
      </c>
      <c r="D68" s="2">
        <v>8947.7999999999993</v>
      </c>
      <c r="E68" s="2">
        <v>8856.6</v>
      </c>
      <c r="F68" t="s">
        <v>69</v>
      </c>
      <c r="G68" s="3">
        <v>6.0000000000000001E-3</v>
      </c>
    </row>
    <row r="69" spans="1:7" x14ac:dyDescent="0.2">
      <c r="A69" s="1">
        <v>46230</v>
      </c>
      <c r="B69" s="2">
        <v>8894</v>
      </c>
      <c r="C69" s="2">
        <v>8772.2999999999993</v>
      </c>
      <c r="D69" s="2">
        <v>8894</v>
      </c>
      <c r="E69" s="2">
        <v>8772.2999999999993</v>
      </c>
      <c r="F69" t="s">
        <v>70</v>
      </c>
      <c r="G69" s="3">
        <v>1.3899999999999999E-2</v>
      </c>
    </row>
    <row r="70" spans="1:7" x14ac:dyDescent="0.2">
      <c r="A70" s="1">
        <v>46227</v>
      </c>
      <c r="B70" s="2">
        <v>8772.2999999999993</v>
      </c>
      <c r="C70" s="2">
        <v>8839</v>
      </c>
      <c r="D70" s="2">
        <v>8839</v>
      </c>
      <c r="E70" s="2">
        <v>8740.5</v>
      </c>
      <c r="F70" t="s">
        <v>71</v>
      </c>
      <c r="G70" s="3">
        <v>-7.4999999999999997E-3</v>
      </c>
    </row>
    <row r="71" spans="1:7" x14ac:dyDescent="0.2">
      <c r="A71" s="1">
        <v>46226</v>
      </c>
      <c r="B71" s="2">
        <v>8839</v>
      </c>
      <c r="C71" s="2">
        <v>8823</v>
      </c>
      <c r="D71" s="2">
        <v>8926.2999999999993</v>
      </c>
      <c r="E71" s="2">
        <v>8823</v>
      </c>
      <c r="F71" t="s">
        <v>72</v>
      </c>
      <c r="G71" s="3">
        <v>1.8E-3</v>
      </c>
    </row>
    <row r="72" spans="1:7" x14ac:dyDescent="0.2">
      <c r="A72" s="1">
        <v>46225</v>
      </c>
      <c r="B72" s="2">
        <v>8823</v>
      </c>
      <c r="C72" s="2">
        <v>8793.2999999999993</v>
      </c>
      <c r="D72" s="2">
        <v>8841.6</v>
      </c>
      <c r="E72" s="2">
        <v>8793.2999999999993</v>
      </c>
      <c r="F72" t="s">
        <v>73</v>
      </c>
      <c r="G72" s="3">
        <v>3.3999999999999998E-3</v>
      </c>
    </row>
    <row r="73" spans="1:7" x14ac:dyDescent="0.2">
      <c r="A73" s="1">
        <v>46224</v>
      </c>
      <c r="B73" s="2">
        <v>8793.2999999999993</v>
      </c>
      <c r="C73" s="2">
        <v>8791.2999999999993</v>
      </c>
      <c r="D73" s="2">
        <v>8803.2999999999993</v>
      </c>
      <c r="E73" s="2">
        <v>8733</v>
      </c>
      <c r="F73" t="s">
        <v>74</v>
      </c>
      <c r="G73" s="3">
        <v>2.0000000000000001E-4</v>
      </c>
    </row>
    <row r="74" spans="1:7" x14ac:dyDescent="0.2">
      <c r="A74" s="1">
        <v>46223</v>
      </c>
      <c r="B74" s="2">
        <v>8791.2999999999993</v>
      </c>
      <c r="C74" s="2">
        <v>8796.7000000000007</v>
      </c>
      <c r="D74" s="2">
        <v>8836.2000000000007</v>
      </c>
      <c r="E74" s="2">
        <v>8791.2999999999993</v>
      </c>
      <c r="F74" t="s">
        <v>75</v>
      </c>
      <c r="G74" s="3">
        <v>-5.9999999999999995E-4</v>
      </c>
    </row>
    <row r="75" spans="1:7" x14ac:dyDescent="0.2">
      <c r="A75" s="1">
        <v>46220</v>
      </c>
      <c r="B75" s="2">
        <v>8796.7000000000007</v>
      </c>
      <c r="C75" s="2">
        <v>8840.7000000000007</v>
      </c>
      <c r="D75" s="2">
        <v>8840.7000000000007</v>
      </c>
      <c r="E75" s="2">
        <v>8758.1</v>
      </c>
      <c r="F75" t="s">
        <v>76</v>
      </c>
      <c r="G75" s="3">
        <v>-5.0000000000000001E-3</v>
      </c>
    </row>
    <row r="76" spans="1:7" x14ac:dyDescent="0.2">
      <c r="A76" s="1">
        <v>46219</v>
      </c>
      <c r="B76" s="2">
        <v>8840.7000000000007</v>
      </c>
      <c r="C76" s="2">
        <v>8841.1</v>
      </c>
      <c r="D76" s="2">
        <v>8856.2000000000007</v>
      </c>
      <c r="E76" s="2">
        <v>8808.1</v>
      </c>
      <c r="F76" t="s">
        <v>77</v>
      </c>
      <c r="G76" s="3">
        <v>0</v>
      </c>
    </row>
    <row r="77" spans="1:7" x14ac:dyDescent="0.2">
      <c r="A77" s="1">
        <v>46218</v>
      </c>
      <c r="B77" s="2">
        <v>8841.1</v>
      </c>
      <c r="C77" s="2">
        <v>8808.5</v>
      </c>
      <c r="D77" s="2">
        <v>8872.6</v>
      </c>
      <c r="E77" s="2">
        <v>8808.5</v>
      </c>
      <c r="F77" t="s">
        <v>78</v>
      </c>
      <c r="G77" s="3">
        <v>3.7000000000000002E-3</v>
      </c>
    </row>
    <row r="78" spans="1:7" x14ac:dyDescent="0.2">
      <c r="A78" s="1">
        <v>46217</v>
      </c>
      <c r="B78" s="2">
        <v>8808.5</v>
      </c>
      <c r="C78" s="2">
        <v>8808.5</v>
      </c>
      <c r="D78" s="2">
        <v>8808.5</v>
      </c>
      <c r="E78" s="2">
        <v>8758.6</v>
      </c>
      <c r="F78" t="s">
        <v>79</v>
      </c>
      <c r="G78" s="3">
        <v>0</v>
      </c>
    </row>
    <row r="79" spans="1:7" x14ac:dyDescent="0.2">
      <c r="A79" s="1">
        <v>46216</v>
      </c>
      <c r="B79" s="2">
        <v>8808.5</v>
      </c>
      <c r="C79" s="2">
        <v>8806</v>
      </c>
      <c r="D79" s="2">
        <v>8823.2000000000007</v>
      </c>
      <c r="E79" s="2">
        <v>8769.7999999999993</v>
      </c>
      <c r="F79" t="s">
        <v>80</v>
      </c>
      <c r="G79" s="3">
        <v>2.9999999999999997E-4</v>
      </c>
    </row>
    <row r="80" spans="1:7" x14ac:dyDescent="0.2">
      <c r="A80" s="1">
        <v>46213</v>
      </c>
      <c r="B80" s="2">
        <v>8806</v>
      </c>
      <c r="C80" s="2">
        <v>8762.5</v>
      </c>
      <c r="D80" s="2">
        <v>8821.6</v>
      </c>
      <c r="E80" s="2">
        <v>8748.6</v>
      </c>
      <c r="F80" t="s">
        <v>81</v>
      </c>
      <c r="G80" s="3">
        <v>5.0000000000000001E-3</v>
      </c>
    </row>
    <row r="81" spans="1:7" x14ac:dyDescent="0.2">
      <c r="A81" s="1">
        <v>46212</v>
      </c>
      <c r="B81" s="2">
        <v>8762.5</v>
      </c>
      <c r="C81" s="2">
        <v>8785.1</v>
      </c>
      <c r="D81" s="2">
        <v>8785.1</v>
      </c>
      <c r="E81" s="2">
        <v>8700.5</v>
      </c>
      <c r="F81" t="s">
        <v>82</v>
      </c>
      <c r="G81" s="3">
        <v>-2.5999999999999999E-3</v>
      </c>
    </row>
    <row r="82" spans="1:7" x14ac:dyDescent="0.2">
      <c r="A82" s="1">
        <v>46211</v>
      </c>
      <c r="B82" s="2">
        <v>8785.1</v>
      </c>
      <c r="C82" s="2">
        <v>8803.9</v>
      </c>
      <c r="D82" s="2">
        <v>8803.9</v>
      </c>
      <c r="E82" s="2">
        <v>8676.7000000000007</v>
      </c>
      <c r="F82" t="s">
        <v>83</v>
      </c>
      <c r="G82" s="3">
        <v>-2.0999999999999999E-3</v>
      </c>
    </row>
    <row r="83" spans="1:7" x14ac:dyDescent="0.2">
      <c r="A83" s="1">
        <v>46210</v>
      </c>
      <c r="B83" s="2">
        <v>8803.9</v>
      </c>
      <c r="C83" s="2">
        <v>8831</v>
      </c>
      <c r="D83" s="2">
        <v>8843.2999999999993</v>
      </c>
      <c r="E83" s="2">
        <v>8786.9</v>
      </c>
      <c r="F83" t="s">
        <v>84</v>
      </c>
      <c r="G83" s="3">
        <v>-3.0999999999999999E-3</v>
      </c>
    </row>
    <row r="84" spans="1:7" x14ac:dyDescent="0.2">
      <c r="A84" s="1">
        <v>46209</v>
      </c>
      <c r="B84" s="2">
        <v>8831</v>
      </c>
      <c r="C84" s="2">
        <v>8844.4</v>
      </c>
      <c r="D84" s="2">
        <v>8856.7999999999993</v>
      </c>
      <c r="E84" s="2">
        <v>8817.5</v>
      </c>
      <c r="F84" t="s">
        <v>85</v>
      </c>
      <c r="G84" s="3">
        <v>-1.5E-3</v>
      </c>
    </row>
    <row r="85" spans="1:7" x14ac:dyDescent="0.2">
      <c r="A85" s="1">
        <v>46206</v>
      </c>
      <c r="B85" s="2">
        <v>8844.4</v>
      </c>
      <c r="C85" s="2">
        <v>8724.5</v>
      </c>
      <c r="D85" s="2">
        <v>8853.7999999999993</v>
      </c>
      <c r="E85" s="2">
        <v>8724.5</v>
      </c>
      <c r="F85" t="s">
        <v>86</v>
      </c>
      <c r="G85" s="3">
        <v>1.37E-2</v>
      </c>
    </row>
    <row r="86" spans="1:7" x14ac:dyDescent="0.2">
      <c r="A86" s="1">
        <v>46205</v>
      </c>
      <c r="B86" s="2">
        <v>8724.5</v>
      </c>
      <c r="C86" s="2">
        <v>8722.9</v>
      </c>
      <c r="D86" s="2">
        <v>8729.4</v>
      </c>
      <c r="E86" s="2">
        <v>8656.2000000000007</v>
      </c>
      <c r="F86" t="s">
        <v>87</v>
      </c>
      <c r="G86" s="3">
        <v>2.0000000000000001E-4</v>
      </c>
    </row>
    <row r="87" spans="1:7" x14ac:dyDescent="0.2">
      <c r="A87" s="1">
        <v>46204</v>
      </c>
      <c r="B87" s="2">
        <v>8722.9</v>
      </c>
      <c r="C87" s="2">
        <v>8778.7000000000007</v>
      </c>
      <c r="D87" s="2">
        <v>8795.7999999999993</v>
      </c>
      <c r="E87" s="2">
        <v>8711.4</v>
      </c>
      <c r="F87" t="s">
        <v>88</v>
      </c>
      <c r="G87" s="3">
        <v>-6.4000000000000003E-3</v>
      </c>
    </row>
    <row r="88" spans="1:7" x14ac:dyDescent="0.2">
      <c r="A88" s="1">
        <v>46203</v>
      </c>
      <c r="B88" s="2">
        <v>8778.7000000000007</v>
      </c>
      <c r="C88" s="2">
        <v>8823.4</v>
      </c>
      <c r="D88" s="2">
        <v>8836.4</v>
      </c>
      <c r="E88" s="2">
        <v>8778.7000000000007</v>
      </c>
      <c r="F88" t="s">
        <v>89</v>
      </c>
      <c r="G88" s="3">
        <v>-5.1000000000000004E-3</v>
      </c>
    </row>
    <row r="89" spans="1:7" x14ac:dyDescent="0.2">
      <c r="A89" s="1">
        <v>46202</v>
      </c>
      <c r="B89" s="2">
        <v>8823.4</v>
      </c>
      <c r="C89" s="2">
        <v>8764.2000000000007</v>
      </c>
      <c r="D89" s="2">
        <v>8823.4</v>
      </c>
      <c r="E89" s="2">
        <v>8764.2000000000007</v>
      </c>
      <c r="F89" t="s">
        <v>90</v>
      </c>
      <c r="G89" s="3">
        <v>6.7999999999999996E-3</v>
      </c>
    </row>
    <row r="90" spans="1:7" x14ac:dyDescent="0.2">
      <c r="A90" s="1">
        <v>46199</v>
      </c>
      <c r="B90" s="2">
        <v>8764.2000000000007</v>
      </c>
      <c r="C90" s="2">
        <v>8748.7000000000007</v>
      </c>
      <c r="D90" s="2">
        <v>8774.5</v>
      </c>
      <c r="E90" s="2">
        <v>8708.1</v>
      </c>
      <c r="F90" t="s">
        <v>91</v>
      </c>
      <c r="G90" s="3">
        <v>1.8E-3</v>
      </c>
    </row>
    <row r="91" spans="1:7" x14ac:dyDescent="0.2">
      <c r="A91" s="1">
        <v>46198</v>
      </c>
      <c r="B91" s="2">
        <v>8748.7000000000007</v>
      </c>
      <c r="C91" s="2">
        <v>8808.4</v>
      </c>
      <c r="D91" s="2">
        <v>8808.4</v>
      </c>
      <c r="E91" s="2">
        <v>8748.7000000000007</v>
      </c>
      <c r="F91" t="s">
        <v>92</v>
      </c>
      <c r="G91" s="3">
        <v>-6.7999999999999996E-3</v>
      </c>
    </row>
    <row r="92" spans="1:7" x14ac:dyDescent="0.2">
      <c r="A92" s="1">
        <v>46197</v>
      </c>
      <c r="B92" s="2">
        <v>8808.4</v>
      </c>
      <c r="C92" s="2">
        <v>8787</v>
      </c>
      <c r="D92" s="2">
        <v>8823.2000000000007</v>
      </c>
      <c r="E92" s="2">
        <v>8784.4</v>
      </c>
      <c r="F92" t="s">
        <v>93</v>
      </c>
      <c r="G92" s="3">
        <v>2.3999999999999998E-3</v>
      </c>
    </row>
    <row r="93" spans="1:7" x14ac:dyDescent="0.2">
      <c r="A93" s="1">
        <v>46196</v>
      </c>
      <c r="B93" s="2">
        <v>8787</v>
      </c>
      <c r="C93" s="2">
        <v>8816.1</v>
      </c>
      <c r="D93" s="2">
        <v>8849.9</v>
      </c>
      <c r="E93" s="2">
        <v>8777.7999999999993</v>
      </c>
      <c r="F93" t="s">
        <v>94</v>
      </c>
      <c r="G93" s="3">
        <v>-3.3E-3</v>
      </c>
    </row>
    <row r="94" spans="1:7" x14ac:dyDescent="0.2">
      <c r="A94" s="1">
        <v>46195</v>
      </c>
      <c r="B94" s="2">
        <v>8816.1</v>
      </c>
      <c r="C94" s="2">
        <v>8828.7000000000007</v>
      </c>
      <c r="D94" s="2">
        <v>8851.7999999999993</v>
      </c>
      <c r="E94" s="2">
        <v>8793.7999999999993</v>
      </c>
      <c r="F94" t="s">
        <v>95</v>
      </c>
      <c r="G94" s="3">
        <v>-1.4E-3</v>
      </c>
    </row>
    <row r="95" spans="1:7" x14ac:dyDescent="0.2">
      <c r="A95" s="1">
        <v>46192</v>
      </c>
      <c r="B95" s="2">
        <v>8828.7000000000007</v>
      </c>
      <c r="C95" s="2">
        <v>8911.1</v>
      </c>
      <c r="D95" s="2">
        <v>8911.1</v>
      </c>
      <c r="E95" s="2">
        <v>8802.6</v>
      </c>
      <c r="F95" t="s">
        <v>96</v>
      </c>
      <c r="G95" s="3">
        <v>-9.1999999999999998E-3</v>
      </c>
    </row>
    <row r="96" spans="1:7" x14ac:dyDescent="0.2">
      <c r="A96" s="1">
        <v>46191</v>
      </c>
      <c r="B96" s="2">
        <v>8911.1</v>
      </c>
      <c r="C96" s="2">
        <v>8966.2999999999993</v>
      </c>
      <c r="D96" s="2">
        <v>8983.7999999999993</v>
      </c>
      <c r="E96" s="2">
        <v>8911.1</v>
      </c>
      <c r="F96" t="s">
        <v>97</v>
      </c>
      <c r="G96" s="3">
        <v>-6.1999999999999998E-3</v>
      </c>
    </row>
    <row r="97" spans="1:7" x14ac:dyDescent="0.2">
      <c r="A97" s="1">
        <v>46190</v>
      </c>
      <c r="B97" s="2">
        <v>8966.2999999999993</v>
      </c>
      <c r="C97" s="2">
        <v>8917.7000000000007</v>
      </c>
      <c r="D97" s="2">
        <v>8976.7999999999993</v>
      </c>
      <c r="E97" s="2">
        <v>8888.1</v>
      </c>
      <c r="F97" t="s">
        <v>98</v>
      </c>
      <c r="G97" s="3">
        <v>5.4000000000000003E-3</v>
      </c>
    </row>
    <row r="98" spans="1:7" x14ac:dyDescent="0.2">
      <c r="A98" s="1">
        <v>46189</v>
      </c>
      <c r="B98" s="2">
        <v>8917.7000000000007</v>
      </c>
      <c r="C98" s="2">
        <v>8914</v>
      </c>
      <c r="D98" s="2">
        <v>8917.7000000000007</v>
      </c>
      <c r="E98" s="2">
        <v>8834</v>
      </c>
      <c r="F98" t="s">
        <v>99</v>
      </c>
      <c r="G98" s="3">
        <v>4.0000000000000002E-4</v>
      </c>
    </row>
    <row r="99" spans="1:7" x14ac:dyDescent="0.2">
      <c r="A99" s="1">
        <v>46188</v>
      </c>
      <c r="B99" s="2">
        <v>8914</v>
      </c>
      <c r="C99" s="2">
        <v>8804</v>
      </c>
      <c r="D99" s="2">
        <v>8937.5</v>
      </c>
      <c r="E99" s="2">
        <v>8804</v>
      </c>
      <c r="F99" t="s">
        <v>100</v>
      </c>
      <c r="G99" s="3">
        <v>1.2500000000000001E-2</v>
      </c>
    </row>
    <row r="100" spans="1:7" x14ac:dyDescent="0.2">
      <c r="A100" s="1">
        <v>46185</v>
      </c>
      <c r="B100" s="2">
        <v>8804</v>
      </c>
      <c r="C100" s="2">
        <v>8633.2000000000007</v>
      </c>
      <c r="D100" s="2">
        <v>8809.2999999999993</v>
      </c>
      <c r="E100" s="2">
        <v>8633.2000000000007</v>
      </c>
      <c r="F100" t="s">
        <v>101</v>
      </c>
      <c r="G100" s="3">
        <v>1.9800000000000002E-2</v>
      </c>
    </row>
    <row r="101" spans="1:7" x14ac:dyDescent="0.2">
      <c r="A101" s="1">
        <v>46184</v>
      </c>
      <c r="B101" s="2">
        <v>8633.2000000000007</v>
      </c>
      <c r="C101" s="2">
        <v>8653.2999999999993</v>
      </c>
      <c r="D101" s="2">
        <v>8670.2000000000007</v>
      </c>
      <c r="E101" s="2">
        <v>8555.2999999999993</v>
      </c>
      <c r="F101" t="s">
        <v>102</v>
      </c>
      <c r="G101" s="3">
        <v>-2.3E-3</v>
      </c>
    </row>
    <row r="102" spans="1:7" x14ac:dyDescent="0.2">
      <c r="A102" s="1">
        <v>46183</v>
      </c>
      <c r="B102" s="2">
        <v>8653.2999999999993</v>
      </c>
      <c r="C102" s="2">
        <v>8604.2000000000007</v>
      </c>
      <c r="D102" s="2">
        <v>8670.2000000000007</v>
      </c>
      <c r="E102" s="2">
        <v>8585.5</v>
      </c>
      <c r="F102" t="s">
        <v>103</v>
      </c>
      <c r="G102" s="3">
        <v>5.7000000000000002E-3</v>
      </c>
    </row>
    <row r="103" spans="1:7" x14ac:dyDescent="0.2">
      <c r="A103" s="1">
        <v>46182</v>
      </c>
      <c r="B103" s="2">
        <v>8604.2000000000007</v>
      </c>
      <c r="C103" s="2">
        <v>8625.1</v>
      </c>
      <c r="D103" s="2">
        <v>8625.1</v>
      </c>
      <c r="E103" s="2">
        <v>8490.9</v>
      </c>
      <c r="F103" t="s">
        <v>104</v>
      </c>
      <c r="G103" s="3">
        <v>-2.3999999999999998E-3</v>
      </c>
    </row>
    <row r="104" spans="1:7" x14ac:dyDescent="0.2">
      <c r="A104" s="1">
        <v>46178</v>
      </c>
      <c r="B104" s="2">
        <v>8625.1</v>
      </c>
      <c r="C104" s="2">
        <v>8686.1</v>
      </c>
      <c r="D104" s="2">
        <v>8705.1</v>
      </c>
      <c r="E104" s="2">
        <v>8613.6</v>
      </c>
      <c r="F104" t="s">
        <v>105</v>
      </c>
      <c r="G104" s="3">
        <v>-7.0000000000000001E-3</v>
      </c>
    </row>
    <row r="105" spans="1:7" x14ac:dyDescent="0.2">
      <c r="A105" s="1">
        <v>46177</v>
      </c>
      <c r="B105" s="2">
        <v>8686.1</v>
      </c>
      <c r="C105" s="2">
        <v>8785.7000000000007</v>
      </c>
      <c r="D105" s="2">
        <v>8785.7000000000007</v>
      </c>
      <c r="E105" s="2">
        <v>8652.2000000000007</v>
      </c>
      <c r="F105" t="s">
        <v>106</v>
      </c>
      <c r="G105" s="3">
        <v>-1.1299999999999999E-2</v>
      </c>
    </row>
    <row r="106" spans="1:7" x14ac:dyDescent="0.2">
      <c r="A106" s="1">
        <v>46176</v>
      </c>
      <c r="B106" s="2">
        <v>8785.7000000000007</v>
      </c>
      <c r="C106" s="2">
        <v>8724.4</v>
      </c>
      <c r="D106" s="2">
        <v>8810.5</v>
      </c>
      <c r="E106" s="2">
        <v>8724.4</v>
      </c>
      <c r="F106" t="s">
        <v>107</v>
      </c>
      <c r="G106" s="3">
        <v>7.0000000000000001E-3</v>
      </c>
    </row>
    <row r="107" spans="1:7" x14ac:dyDescent="0.2">
      <c r="A107" s="1">
        <v>46175</v>
      </c>
      <c r="B107" s="2">
        <v>8724.4</v>
      </c>
      <c r="C107" s="2">
        <v>8729.4</v>
      </c>
      <c r="D107" s="2">
        <v>8729.4</v>
      </c>
      <c r="E107" s="2">
        <v>8625.7999999999993</v>
      </c>
      <c r="F107" t="s">
        <v>108</v>
      </c>
      <c r="G107" s="3">
        <v>-5.9999999999999995E-4</v>
      </c>
    </row>
    <row r="108" spans="1:7" x14ac:dyDescent="0.2">
      <c r="A108" s="1">
        <v>46174</v>
      </c>
      <c r="B108" s="2">
        <v>8729.4</v>
      </c>
      <c r="C108" s="2">
        <v>8731.7000000000007</v>
      </c>
      <c r="D108" s="2">
        <v>8736.5</v>
      </c>
      <c r="E108" s="2">
        <v>8697.2999999999993</v>
      </c>
      <c r="F108" t="s">
        <v>109</v>
      </c>
      <c r="G108" s="3">
        <v>-2.9999999999999997E-4</v>
      </c>
    </row>
    <row r="109" spans="1:7" x14ac:dyDescent="0.2">
      <c r="A109" s="1">
        <v>46171</v>
      </c>
      <c r="B109" s="2">
        <v>8731.7000000000007</v>
      </c>
      <c r="C109" s="2">
        <v>8592.9</v>
      </c>
      <c r="D109" s="2">
        <v>8731.7000000000007</v>
      </c>
      <c r="E109" s="2">
        <v>8592.9</v>
      </c>
      <c r="F109" t="s">
        <v>110</v>
      </c>
      <c r="G109" s="3">
        <v>1.6199999999999999E-2</v>
      </c>
    </row>
    <row r="110" spans="1:7" x14ac:dyDescent="0.2">
      <c r="A110" s="1">
        <v>46170</v>
      </c>
      <c r="B110" s="2">
        <v>8592.9</v>
      </c>
      <c r="C110" s="2">
        <v>8717.7000000000007</v>
      </c>
      <c r="D110" s="2">
        <v>8717.7000000000007</v>
      </c>
      <c r="E110" s="2">
        <v>8561.7999999999993</v>
      </c>
      <c r="F110" t="s">
        <v>111</v>
      </c>
      <c r="G110" s="3">
        <v>-1.43E-2</v>
      </c>
    </row>
    <row r="111" spans="1:7" x14ac:dyDescent="0.2">
      <c r="A111" s="1">
        <v>46169</v>
      </c>
      <c r="B111" s="2">
        <v>8717.7000000000007</v>
      </c>
      <c r="C111" s="2">
        <v>8657.7999999999993</v>
      </c>
      <c r="D111" s="2">
        <v>8717.7000000000007</v>
      </c>
      <c r="E111" s="2">
        <v>8625.7999999999993</v>
      </c>
      <c r="F111" t="s">
        <v>112</v>
      </c>
      <c r="G111" s="3">
        <v>6.8999999999999999E-3</v>
      </c>
    </row>
    <row r="112" spans="1:7" x14ac:dyDescent="0.2">
      <c r="A112" s="1">
        <v>46168</v>
      </c>
      <c r="B112" s="2">
        <v>8657.7999999999993</v>
      </c>
      <c r="C112" s="2">
        <v>8692</v>
      </c>
      <c r="D112" s="2">
        <v>8692</v>
      </c>
      <c r="E112" s="2">
        <v>8628.9</v>
      </c>
      <c r="F112" t="s">
        <v>113</v>
      </c>
      <c r="G112" s="3">
        <v>-3.8999999999999998E-3</v>
      </c>
    </row>
    <row r="113" spans="1:7" x14ac:dyDescent="0.2">
      <c r="A113" s="1">
        <v>46167</v>
      </c>
      <c r="B113" s="2">
        <v>8692</v>
      </c>
      <c r="C113" s="2">
        <v>8657</v>
      </c>
      <c r="D113" s="2">
        <v>8713</v>
      </c>
      <c r="E113" s="2">
        <v>8644.7000000000007</v>
      </c>
      <c r="F113" t="s">
        <v>114</v>
      </c>
      <c r="G113" s="3">
        <v>4.0000000000000001E-3</v>
      </c>
    </row>
    <row r="114" spans="1:7" x14ac:dyDescent="0.2">
      <c r="A114" s="1">
        <v>46164</v>
      </c>
      <c r="B114" s="2">
        <v>8657</v>
      </c>
      <c r="C114" s="2">
        <v>8621.7000000000007</v>
      </c>
      <c r="D114" s="2">
        <v>8674.5</v>
      </c>
      <c r="E114" s="2">
        <v>8621.7000000000007</v>
      </c>
      <c r="F114" t="s">
        <v>115</v>
      </c>
      <c r="G114" s="3">
        <v>4.1000000000000003E-3</v>
      </c>
    </row>
    <row r="115" spans="1:7" x14ac:dyDescent="0.2">
      <c r="A115" s="1">
        <v>46163</v>
      </c>
      <c r="B115" s="2">
        <v>8621.7000000000007</v>
      </c>
      <c r="C115" s="2">
        <v>8496.6</v>
      </c>
      <c r="D115" s="2">
        <v>8649.7000000000007</v>
      </c>
      <c r="E115" s="2">
        <v>8496.6</v>
      </c>
      <c r="F115" t="s">
        <v>116</v>
      </c>
      <c r="G115" s="3">
        <v>1.47E-2</v>
      </c>
    </row>
    <row r="116" spans="1:7" x14ac:dyDescent="0.2">
      <c r="A116" s="1">
        <v>46162</v>
      </c>
      <c r="B116" s="2">
        <v>8496.6</v>
      </c>
      <c r="C116" s="2">
        <v>8604.7000000000007</v>
      </c>
      <c r="D116" s="2">
        <v>8604.7000000000007</v>
      </c>
      <c r="E116" s="2">
        <v>8485.2000000000007</v>
      </c>
      <c r="F116" t="s">
        <v>117</v>
      </c>
      <c r="G116" s="3">
        <v>-1.26E-2</v>
      </c>
    </row>
    <row r="117" spans="1:7" x14ac:dyDescent="0.2">
      <c r="A117" s="1">
        <v>46161</v>
      </c>
      <c r="B117" s="2">
        <v>8604.7000000000007</v>
      </c>
      <c r="C117" s="2">
        <v>8505.2999999999993</v>
      </c>
      <c r="D117" s="2">
        <v>8607.7000000000007</v>
      </c>
      <c r="E117" s="2">
        <v>8505.2999999999993</v>
      </c>
      <c r="F117" t="s">
        <v>118</v>
      </c>
      <c r="G117" s="3">
        <v>1.17E-2</v>
      </c>
    </row>
    <row r="118" spans="1:7" x14ac:dyDescent="0.2">
      <c r="A118" s="1">
        <v>46160</v>
      </c>
      <c r="B118" s="2">
        <v>8505.2999999999993</v>
      </c>
      <c r="C118" s="2">
        <v>8630.7999999999993</v>
      </c>
      <c r="D118" s="2">
        <v>8630.7999999999993</v>
      </c>
      <c r="E118" s="2">
        <v>8500.2000000000007</v>
      </c>
      <c r="F118" t="s">
        <v>119</v>
      </c>
      <c r="G118" s="3">
        <v>-1.4500000000000001E-2</v>
      </c>
    </row>
    <row r="119" spans="1:7" x14ac:dyDescent="0.2">
      <c r="A119" s="1">
        <v>46157</v>
      </c>
      <c r="B119" s="2">
        <v>8630.7999999999993</v>
      </c>
      <c r="C119" s="2">
        <v>8640.7000000000007</v>
      </c>
      <c r="D119" s="2">
        <v>8691.9</v>
      </c>
      <c r="E119" s="2">
        <v>8610.2999999999993</v>
      </c>
      <c r="F119" t="s">
        <v>120</v>
      </c>
      <c r="G119" s="3">
        <v>-1.1000000000000001E-3</v>
      </c>
    </row>
    <row r="120" spans="1:7" x14ac:dyDescent="0.2">
      <c r="A120" s="1">
        <v>46156</v>
      </c>
      <c r="B120" s="2">
        <v>8640.7000000000007</v>
      </c>
      <c r="C120" s="2">
        <v>8630.4</v>
      </c>
      <c r="D120" s="2">
        <v>8644.5</v>
      </c>
      <c r="E120" s="2">
        <v>8602.9</v>
      </c>
      <c r="F120" t="s">
        <v>121</v>
      </c>
      <c r="G120" s="3">
        <v>1.1999999999999999E-3</v>
      </c>
    </row>
    <row r="121" spans="1:7" x14ac:dyDescent="0.2">
      <c r="A121" s="1">
        <v>46155</v>
      </c>
      <c r="B121" s="2">
        <v>8630.4</v>
      </c>
      <c r="C121" s="2">
        <v>8670.7000000000007</v>
      </c>
      <c r="D121" s="2">
        <v>8670.7000000000007</v>
      </c>
      <c r="E121" s="2">
        <v>8590.7000000000007</v>
      </c>
      <c r="F121" t="s">
        <v>122</v>
      </c>
      <c r="G121" s="3">
        <v>-4.5999999999999999E-3</v>
      </c>
    </row>
    <row r="122" spans="1:7" x14ac:dyDescent="0.2">
      <c r="A122" s="1">
        <v>46154</v>
      </c>
      <c r="B122" s="2">
        <v>8670.7000000000007</v>
      </c>
      <c r="C122" s="2">
        <v>8701.7999999999993</v>
      </c>
      <c r="D122" s="2">
        <v>8713.4</v>
      </c>
      <c r="E122" s="2">
        <v>8619.1</v>
      </c>
      <c r="F122" t="s">
        <v>123</v>
      </c>
      <c r="G122" s="3">
        <v>-3.5999999999999999E-3</v>
      </c>
    </row>
    <row r="123" spans="1:7" x14ac:dyDescent="0.2">
      <c r="A123" s="1">
        <v>46153</v>
      </c>
      <c r="B123" s="2">
        <v>8701.7999999999993</v>
      </c>
      <c r="C123" s="2">
        <v>8744.4</v>
      </c>
      <c r="D123" s="2">
        <v>8744.4</v>
      </c>
      <c r="E123" s="2">
        <v>8643.5</v>
      </c>
      <c r="F123" t="s">
        <v>124</v>
      </c>
      <c r="G123" s="3">
        <v>-4.8999999999999998E-3</v>
      </c>
    </row>
    <row r="124" spans="1:7" x14ac:dyDescent="0.2">
      <c r="A124" s="1">
        <v>46150</v>
      </c>
      <c r="B124" s="2">
        <v>8744.4</v>
      </c>
      <c r="C124" s="2">
        <v>8878.1</v>
      </c>
      <c r="D124" s="2">
        <v>8878.1</v>
      </c>
      <c r="E124" s="2">
        <v>8717.6</v>
      </c>
      <c r="F124" t="s">
        <v>125</v>
      </c>
      <c r="G124" s="3">
        <v>-1.5100000000000001E-2</v>
      </c>
    </row>
    <row r="125" spans="1:7" x14ac:dyDescent="0.2">
      <c r="A125" s="1">
        <v>46149</v>
      </c>
      <c r="B125" s="2">
        <v>8878.1</v>
      </c>
      <c r="C125" s="2">
        <v>8793.6</v>
      </c>
      <c r="D125" s="2">
        <v>8887.9</v>
      </c>
      <c r="E125" s="2">
        <v>8793.6</v>
      </c>
      <c r="F125" t="s">
        <v>126</v>
      </c>
      <c r="G125" s="3">
        <v>9.5999999999999992E-3</v>
      </c>
    </row>
    <row r="126" spans="1:7" x14ac:dyDescent="0.2">
      <c r="A126" s="1">
        <v>46148</v>
      </c>
      <c r="B126" s="2">
        <v>8793.6</v>
      </c>
      <c r="C126" s="2">
        <v>8680.5</v>
      </c>
      <c r="D126" s="2">
        <v>8794.7000000000007</v>
      </c>
      <c r="E126" s="2">
        <v>8680.5</v>
      </c>
      <c r="F126" t="s">
        <v>127</v>
      </c>
      <c r="G126" s="3">
        <v>1.2999999999999999E-2</v>
      </c>
    </row>
    <row r="127" spans="1:7" x14ac:dyDescent="0.2">
      <c r="A127" s="1">
        <v>46147</v>
      </c>
      <c r="B127" s="2">
        <v>8680.5</v>
      </c>
      <c r="C127" s="2">
        <v>8697.1</v>
      </c>
      <c r="D127" s="2">
        <v>8697.1</v>
      </c>
      <c r="E127" s="2">
        <v>8621.6</v>
      </c>
      <c r="F127" t="s">
        <v>128</v>
      </c>
      <c r="G127" s="3">
        <v>-1.9E-3</v>
      </c>
    </row>
    <row r="128" spans="1:7" x14ac:dyDescent="0.2">
      <c r="A128" s="1">
        <v>46146</v>
      </c>
      <c r="B128" s="2">
        <v>8697.1</v>
      </c>
      <c r="C128" s="2">
        <v>8729.7999999999993</v>
      </c>
      <c r="D128" s="2">
        <v>8738.1</v>
      </c>
      <c r="E128" s="2">
        <v>8675.4</v>
      </c>
      <c r="F128" t="s">
        <v>129</v>
      </c>
      <c r="G128" s="3">
        <v>-3.7000000000000002E-3</v>
      </c>
    </row>
    <row r="129" spans="1:7" x14ac:dyDescent="0.2">
      <c r="A129" s="1">
        <v>46143</v>
      </c>
      <c r="B129" s="2">
        <v>8729.7999999999993</v>
      </c>
      <c r="C129" s="2">
        <v>8665.7999999999993</v>
      </c>
      <c r="D129" s="2">
        <v>8764.1</v>
      </c>
      <c r="E129" s="2">
        <v>8665.7999999999993</v>
      </c>
      <c r="F129" t="s">
        <v>130</v>
      </c>
      <c r="G129" s="3">
        <v>7.4000000000000003E-3</v>
      </c>
    </row>
    <row r="130" spans="1:7" x14ac:dyDescent="0.2">
      <c r="A130" s="1">
        <v>46142</v>
      </c>
      <c r="B130" s="2">
        <v>8665.7999999999993</v>
      </c>
      <c r="C130" s="2">
        <v>8687</v>
      </c>
      <c r="D130" s="2">
        <v>8687</v>
      </c>
      <c r="E130" s="2">
        <v>8632.2000000000007</v>
      </c>
      <c r="F130" t="s">
        <v>131</v>
      </c>
      <c r="G130" s="3">
        <v>-2.3999999999999998E-3</v>
      </c>
    </row>
    <row r="131" spans="1:7" x14ac:dyDescent="0.2">
      <c r="A131" s="1">
        <v>46141</v>
      </c>
      <c r="B131" s="2">
        <v>8687</v>
      </c>
      <c r="C131" s="2">
        <v>8710.7000000000007</v>
      </c>
      <c r="D131" s="2">
        <v>8710.7000000000007</v>
      </c>
      <c r="E131" s="2">
        <v>8659.1</v>
      </c>
      <c r="F131" t="s">
        <v>132</v>
      </c>
      <c r="G131" s="3">
        <v>-2.7000000000000001E-3</v>
      </c>
    </row>
    <row r="132" spans="1:7" x14ac:dyDescent="0.2">
      <c r="A132" s="1">
        <v>46140</v>
      </c>
      <c r="B132" s="2">
        <v>8710.7000000000007</v>
      </c>
      <c r="C132" s="2">
        <v>8766.4</v>
      </c>
      <c r="D132" s="2">
        <v>8766.4</v>
      </c>
      <c r="E132" s="2">
        <v>8693.4</v>
      </c>
      <c r="F132" t="s">
        <v>133</v>
      </c>
      <c r="G132" s="3">
        <v>-6.4000000000000003E-3</v>
      </c>
    </row>
    <row r="133" spans="1:7" x14ac:dyDescent="0.2">
      <c r="A133" s="1">
        <v>46139</v>
      </c>
      <c r="B133" s="2">
        <v>8766.4</v>
      </c>
      <c r="C133" s="2">
        <v>8786.5</v>
      </c>
      <c r="D133" s="2">
        <v>8786.5</v>
      </c>
      <c r="E133" s="2">
        <v>8729.6</v>
      </c>
      <c r="F133" t="s">
        <v>134</v>
      </c>
      <c r="G133" s="3">
        <v>-2.3E-3</v>
      </c>
    </row>
    <row r="134" spans="1:7" x14ac:dyDescent="0.2">
      <c r="A134" s="1">
        <v>46136</v>
      </c>
      <c r="B134" s="2">
        <v>8786.5</v>
      </c>
      <c r="C134" s="2">
        <v>8793.4</v>
      </c>
      <c r="D134" s="2">
        <v>8798.6</v>
      </c>
      <c r="E134" s="2">
        <v>8736.9</v>
      </c>
      <c r="F134" t="s">
        <v>135</v>
      </c>
      <c r="G134" s="3">
        <v>-8.0000000000000004E-4</v>
      </c>
    </row>
    <row r="135" spans="1:7" x14ac:dyDescent="0.2">
      <c r="A135" s="1">
        <v>46135</v>
      </c>
      <c r="B135" s="2">
        <v>8793.4</v>
      </c>
      <c r="C135" s="2">
        <v>8843.6</v>
      </c>
      <c r="D135" s="2">
        <v>8843.6</v>
      </c>
      <c r="E135" s="2">
        <v>8747.7999999999993</v>
      </c>
      <c r="F135" t="s">
        <v>136</v>
      </c>
      <c r="G135" s="3">
        <v>-5.7000000000000002E-3</v>
      </c>
    </row>
    <row r="136" spans="1:7" x14ac:dyDescent="0.2">
      <c r="A136" s="1">
        <v>46134</v>
      </c>
      <c r="B136" s="2">
        <v>8843.6</v>
      </c>
      <c r="C136" s="2">
        <v>8949.4</v>
      </c>
      <c r="D136" s="2">
        <v>8949.4</v>
      </c>
      <c r="E136" s="2">
        <v>8838.7000000000007</v>
      </c>
      <c r="F136" t="s">
        <v>137</v>
      </c>
      <c r="G136" s="3">
        <v>-1.18E-2</v>
      </c>
    </row>
    <row r="137" spans="1:7" x14ac:dyDescent="0.2">
      <c r="A137" s="1">
        <v>46133</v>
      </c>
      <c r="B137" s="2">
        <v>8949.4</v>
      </c>
      <c r="C137" s="2">
        <v>8953.2999999999993</v>
      </c>
      <c r="D137" s="2">
        <v>8976.1</v>
      </c>
      <c r="E137" s="2">
        <v>8911.5</v>
      </c>
      <c r="F137" t="s">
        <v>138</v>
      </c>
      <c r="G137" s="3">
        <v>-4.0000000000000002E-4</v>
      </c>
    </row>
    <row r="138" spans="1:7" x14ac:dyDescent="0.2">
      <c r="A138" s="1">
        <v>46132</v>
      </c>
      <c r="B138" s="2">
        <v>8953.2999999999993</v>
      </c>
      <c r="C138" s="2">
        <v>8946.9</v>
      </c>
      <c r="D138" s="2">
        <v>8955</v>
      </c>
      <c r="E138" s="2">
        <v>8898.4</v>
      </c>
      <c r="F138" t="s">
        <v>139</v>
      </c>
      <c r="G138" s="3">
        <v>6.9999999999999999E-4</v>
      </c>
    </row>
    <row r="139" spans="1:7" x14ac:dyDescent="0.2">
      <c r="A139" s="1">
        <v>46129</v>
      </c>
      <c r="B139" s="2">
        <v>8946.9</v>
      </c>
      <c r="C139" s="2">
        <v>8955</v>
      </c>
      <c r="D139" s="2">
        <v>8955</v>
      </c>
      <c r="E139" s="2">
        <v>8902.4</v>
      </c>
      <c r="F139" t="s">
        <v>140</v>
      </c>
      <c r="G139" s="3">
        <v>-8.9999999999999998E-4</v>
      </c>
    </row>
    <row r="140" spans="1:7" x14ac:dyDescent="0.2">
      <c r="A140" s="1">
        <v>46128</v>
      </c>
      <c r="B140" s="2">
        <v>8955</v>
      </c>
      <c r="C140" s="2">
        <v>8978.7000000000007</v>
      </c>
      <c r="D140" s="2">
        <v>9017.2000000000007</v>
      </c>
      <c r="E140" s="2">
        <v>8937.2999999999993</v>
      </c>
      <c r="F140" t="s">
        <v>141</v>
      </c>
      <c r="G140" s="3">
        <v>-2.5999999999999999E-3</v>
      </c>
    </row>
    <row r="141" spans="1:7" x14ac:dyDescent="0.2">
      <c r="A141" s="1">
        <v>46127</v>
      </c>
      <c r="B141" s="2">
        <v>8978.7000000000007</v>
      </c>
      <c r="C141" s="2">
        <v>8970.7999999999993</v>
      </c>
      <c r="D141" s="2">
        <v>9015.4</v>
      </c>
      <c r="E141" s="2">
        <v>8970.7999999999993</v>
      </c>
      <c r="F141" t="s">
        <v>142</v>
      </c>
      <c r="G141" s="3">
        <v>8.9999999999999998E-4</v>
      </c>
    </row>
    <row r="142" spans="1:7" x14ac:dyDescent="0.2">
      <c r="A142" s="1">
        <v>46126</v>
      </c>
      <c r="B142" s="2">
        <v>8970.7999999999993</v>
      </c>
      <c r="C142" s="2">
        <v>8926</v>
      </c>
      <c r="D142" s="2">
        <v>9021.5</v>
      </c>
      <c r="E142" s="2">
        <v>8926</v>
      </c>
      <c r="F142" t="s">
        <v>143</v>
      </c>
      <c r="G142" s="3">
        <v>5.0000000000000001E-3</v>
      </c>
    </row>
    <row r="143" spans="1:7" x14ac:dyDescent="0.2">
      <c r="A143" s="1">
        <v>46125</v>
      </c>
      <c r="B143" s="2">
        <v>8926</v>
      </c>
      <c r="C143" s="2">
        <v>8960.6</v>
      </c>
      <c r="D143" s="2">
        <v>8960.6</v>
      </c>
      <c r="E143" s="2">
        <v>8889.6</v>
      </c>
      <c r="F143" t="s">
        <v>144</v>
      </c>
      <c r="G143" s="3">
        <v>-3.8999999999999998E-3</v>
      </c>
    </row>
    <row r="144" spans="1:7" x14ac:dyDescent="0.2">
      <c r="A144" s="1">
        <v>46122</v>
      </c>
      <c r="B144" s="2">
        <v>8960.6</v>
      </c>
      <c r="C144" s="2">
        <v>8973.2000000000007</v>
      </c>
      <c r="D144" s="2">
        <v>8973.2000000000007</v>
      </c>
      <c r="E144" s="2">
        <v>8905.2000000000007</v>
      </c>
      <c r="F144" t="s">
        <v>145</v>
      </c>
      <c r="G144" s="3">
        <v>-1.4E-3</v>
      </c>
    </row>
    <row r="145" spans="1:7" x14ac:dyDescent="0.2">
      <c r="A145" s="1">
        <v>46121</v>
      </c>
      <c r="B145" s="2">
        <v>8973.2000000000007</v>
      </c>
      <c r="C145" s="2">
        <v>8951.7999999999993</v>
      </c>
      <c r="D145" s="2">
        <v>8973.2000000000007</v>
      </c>
      <c r="E145" s="2">
        <v>8904.9</v>
      </c>
      <c r="F145" t="s">
        <v>146</v>
      </c>
      <c r="G145" s="3">
        <v>2.3999999999999998E-3</v>
      </c>
    </row>
    <row r="146" spans="1:7" x14ac:dyDescent="0.2">
      <c r="A146" s="1">
        <v>46120</v>
      </c>
      <c r="B146" s="2">
        <v>8951.7999999999993</v>
      </c>
      <c r="C146" s="2">
        <v>8728.7999999999993</v>
      </c>
      <c r="D146" s="2">
        <v>8986.1</v>
      </c>
      <c r="E146" s="2">
        <v>8728.7999999999993</v>
      </c>
      <c r="F146" t="s">
        <v>147</v>
      </c>
      <c r="G146" s="3">
        <v>2.5499999999999998E-2</v>
      </c>
    </row>
    <row r="147" spans="1:7" x14ac:dyDescent="0.2">
      <c r="A147" s="1">
        <v>46119</v>
      </c>
      <c r="B147" s="2">
        <v>8728.7999999999993</v>
      </c>
      <c r="C147" s="2">
        <v>8579.5</v>
      </c>
      <c r="D147" s="2">
        <v>8804</v>
      </c>
      <c r="E147" s="2">
        <v>8579.5</v>
      </c>
      <c r="F147" t="s">
        <v>148</v>
      </c>
      <c r="G147" s="3">
        <v>1.7399999999999999E-2</v>
      </c>
    </row>
    <row r="148" spans="1:7" x14ac:dyDescent="0.2">
      <c r="A148" s="1">
        <v>46114</v>
      </c>
      <c r="B148" s="2">
        <v>8579.5</v>
      </c>
      <c r="C148" s="2">
        <v>8671.7999999999993</v>
      </c>
      <c r="D148" s="2">
        <v>8723.2999999999993</v>
      </c>
      <c r="E148" s="2">
        <v>8566.7999999999993</v>
      </c>
      <c r="F148" t="s">
        <v>149</v>
      </c>
      <c r="G148" s="3">
        <v>-1.06E-2</v>
      </c>
    </row>
    <row r="149" spans="1:7" x14ac:dyDescent="0.2">
      <c r="A149" s="1">
        <v>46113</v>
      </c>
      <c r="B149" s="2">
        <v>8671.7999999999993</v>
      </c>
      <c r="C149" s="2">
        <v>8481.7999999999993</v>
      </c>
      <c r="D149" s="2">
        <v>8671.7999999999993</v>
      </c>
      <c r="E149" s="2">
        <v>8481.7999999999993</v>
      </c>
      <c r="F149" t="s">
        <v>150</v>
      </c>
      <c r="G149" s="3">
        <v>2.24E-2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4BB5-8A89-BD48-8E8D-7E3FB05A97E4}">
  <sheetPr filterMode="1"/>
  <dimension ref="A1:F152"/>
  <sheetViews>
    <sheetView workbookViewId="0">
      <selection activeCell="K10" sqref="K10"/>
    </sheetView>
  </sheetViews>
  <sheetFormatPr baseColWidth="10" defaultRowHeight="16" x14ac:dyDescent="0.2"/>
  <sheetData>
    <row r="1" spans="1:6" x14ac:dyDescent="0.2">
      <c r="A1" t="s">
        <v>151</v>
      </c>
      <c r="B1" t="s">
        <v>152</v>
      </c>
    </row>
    <row r="2" spans="1:6" x14ac:dyDescent="0.2">
      <c r="A2" s="1">
        <v>46113</v>
      </c>
      <c r="B2">
        <v>24.54</v>
      </c>
    </row>
    <row r="3" spans="1:6" x14ac:dyDescent="0.2">
      <c r="A3" s="1">
        <v>46114</v>
      </c>
      <c r="B3">
        <v>23.87</v>
      </c>
    </row>
    <row r="4" spans="1:6" hidden="1" x14ac:dyDescent="0.2">
      <c r="A4" s="1">
        <v>46115</v>
      </c>
    </row>
    <row r="5" spans="1:6" x14ac:dyDescent="0.2">
      <c r="A5" s="1">
        <v>46118</v>
      </c>
      <c r="B5">
        <v>24.17</v>
      </c>
    </row>
    <row r="6" spans="1:6" x14ac:dyDescent="0.2">
      <c r="A6" s="1">
        <v>46119</v>
      </c>
      <c r="B6">
        <v>25.78</v>
      </c>
    </row>
    <row r="7" spans="1:6" x14ac:dyDescent="0.2">
      <c r="A7" s="1">
        <v>46120</v>
      </c>
      <c r="B7">
        <v>21.04</v>
      </c>
    </row>
    <row r="8" spans="1:6" x14ac:dyDescent="0.2">
      <c r="A8" s="1">
        <v>46121</v>
      </c>
      <c r="B8">
        <v>19.489999999999998</v>
      </c>
    </row>
    <row r="9" spans="1:6" x14ac:dyDescent="0.2">
      <c r="A9" s="1">
        <v>46122</v>
      </c>
      <c r="B9">
        <v>19.23</v>
      </c>
    </row>
    <row r="10" spans="1:6" x14ac:dyDescent="0.2">
      <c r="A10" s="1">
        <v>46125</v>
      </c>
      <c r="B10">
        <v>19.12</v>
      </c>
    </row>
    <row r="11" spans="1:6" x14ac:dyDescent="0.2">
      <c r="A11" s="1">
        <v>46126</v>
      </c>
      <c r="B11">
        <v>18.36</v>
      </c>
      <c r="D11" s="5" t="s">
        <v>154</v>
      </c>
      <c r="E11" s="5"/>
      <c r="F11" t="b">
        <f>ISNUMBER(A2)</f>
        <v>1</v>
      </c>
    </row>
    <row r="12" spans="1:6" x14ac:dyDescent="0.2">
      <c r="A12" s="1">
        <v>46127</v>
      </c>
      <c r="B12">
        <v>18.170000000000002</v>
      </c>
      <c r="D12" s="5" t="s">
        <v>155</v>
      </c>
      <c r="E12" s="5"/>
      <c r="F12" t="b">
        <f>ISNUMBER(B2)</f>
        <v>1</v>
      </c>
    </row>
    <row r="13" spans="1:6" x14ac:dyDescent="0.2">
      <c r="A13" s="1">
        <v>46128</v>
      </c>
      <c r="B13">
        <v>17.940000000000001</v>
      </c>
    </row>
    <row r="14" spans="1:6" x14ac:dyDescent="0.2">
      <c r="A14" s="1">
        <v>46129</v>
      </c>
      <c r="B14">
        <v>17.48</v>
      </c>
      <c r="D14" s="5" t="s">
        <v>156</v>
      </c>
      <c r="E14" s="5"/>
      <c r="F14">
        <f>COUNTBLANK(B2:B152)</f>
        <v>1</v>
      </c>
    </row>
    <row r="15" spans="1:6" x14ac:dyDescent="0.2">
      <c r="A15" s="1">
        <v>46132</v>
      </c>
      <c r="B15">
        <v>18.87</v>
      </c>
    </row>
    <row r="16" spans="1:6" x14ac:dyDescent="0.2">
      <c r="A16" s="1">
        <v>46133</v>
      </c>
      <c r="B16">
        <v>19.5</v>
      </c>
    </row>
    <row r="17" spans="1:2" x14ac:dyDescent="0.2">
      <c r="A17" s="1">
        <v>46134</v>
      </c>
      <c r="B17">
        <v>18.920000000000002</v>
      </c>
    </row>
    <row r="18" spans="1:2" x14ac:dyDescent="0.2">
      <c r="A18" s="1">
        <v>46135</v>
      </c>
      <c r="B18">
        <v>19.309999999999999</v>
      </c>
    </row>
    <row r="19" spans="1:2" x14ac:dyDescent="0.2">
      <c r="A19" s="1">
        <v>46136</v>
      </c>
      <c r="B19">
        <v>18.71</v>
      </c>
    </row>
    <row r="20" spans="1:2" x14ac:dyDescent="0.2">
      <c r="A20" s="1">
        <v>46139</v>
      </c>
      <c r="B20">
        <v>18.02</v>
      </c>
    </row>
    <row r="21" spans="1:2" x14ac:dyDescent="0.2">
      <c r="A21" s="1">
        <v>46140</v>
      </c>
      <c r="B21">
        <v>17.829999999999998</v>
      </c>
    </row>
    <row r="22" spans="1:2" x14ac:dyDescent="0.2">
      <c r="A22" s="1">
        <v>46141</v>
      </c>
      <c r="B22">
        <v>18.809999999999999</v>
      </c>
    </row>
    <row r="23" spans="1:2" x14ac:dyDescent="0.2">
      <c r="A23" s="1">
        <v>46142</v>
      </c>
      <c r="B23">
        <v>16.89</v>
      </c>
    </row>
    <row r="24" spans="1:2" x14ac:dyDescent="0.2">
      <c r="A24" s="1">
        <v>46143</v>
      </c>
      <c r="B24">
        <v>16.989999999999998</v>
      </c>
    </row>
    <row r="25" spans="1:2" x14ac:dyDescent="0.2">
      <c r="A25" s="1">
        <v>46146</v>
      </c>
      <c r="B25">
        <v>18.29</v>
      </c>
    </row>
    <row r="26" spans="1:2" x14ac:dyDescent="0.2">
      <c r="A26" s="1">
        <v>46147</v>
      </c>
      <c r="B26">
        <v>17.38</v>
      </c>
    </row>
    <row r="27" spans="1:2" x14ac:dyDescent="0.2">
      <c r="A27" s="1">
        <v>46148</v>
      </c>
      <c r="B27">
        <v>17.39</v>
      </c>
    </row>
    <row r="28" spans="1:2" x14ac:dyDescent="0.2">
      <c r="A28" s="1">
        <v>46149</v>
      </c>
      <c r="B28">
        <v>17.079999999999998</v>
      </c>
    </row>
    <row r="29" spans="1:2" x14ac:dyDescent="0.2">
      <c r="A29" s="1">
        <v>46150</v>
      </c>
      <c r="B29">
        <v>17.190000000000001</v>
      </c>
    </row>
    <row r="30" spans="1:2" x14ac:dyDescent="0.2">
      <c r="A30" s="1">
        <v>46153</v>
      </c>
      <c r="B30">
        <v>18.38</v>
      </c>
    </row>
    <row r="31" spans="1:2" x14ac:dyDescent="0.2">
      <c r="A31" s="1">
        <v>46154</v>
      </c>
      <c r="B31">
        <v>17.989999999999998</v>
      </c>
    </row>
    <row r="32" spans="1:2" x14ac:dyDescent="0.2">
      <c r="A32" s="1">
        <v>46155</v>
      </c>
      <c r="B32">
        <v>17.87</v>
      </c>
    </row>
    <row r="33" spans="1:2" x14ac:dyDescent="0.2">
      <c r="A33" s="1">
        <v>46156</v>
      </c>
      <c r="B33">
        <v>17.260000000000002</v>
      </c>
    </row>
    <row r="34" spans="1:2" x14ac:dyDescent="0.2">
      <c r="A34" s="1">
        <v>46157</v>
      </c>
      <c r="B34">
        <v>18.43</v>
      </c>
    </row>
    <row r="35" spans="1:2" x14ac:dyDescent="0.2">
      <c r="A35" s="1">
        <v>46160</v>
      </c>
      <c r="B35">
        <v>17.82</v>
      </c>
    </row>
    <row r="36" spans="1:2" x14ac:dyDescent="0.2">
      <c r="A36" s="1">
        <v>46161</v>
      </c>
      <c r="B36">
        <v>18.059999999999999</v>
      </c>
    </row>
    <row r="37" spans="1:2" x14ac:dyDescent="0.2">
      <c r="A37" s="1">
        <v>46162</v>
      </c>
      <c r="B37">
        <v>17.440000000000001</v>
      </c>
    </row>
    <row r="38" spans="1:2" x14ac:dyDescent="0.2">
      <c r="A38" s="1">
        <v>46163</v>
      </c>
      <c r="B38">
        <v>16.760000000000002</v>
      </c>
    </row>
    <row r="39" spans="1:2" x14ac:dyDescent="0.2">
      <c r="A39" s="1">
        <v>46164</v>
      </c>
      <c r="B39">
        <v>16.7</v>
      </c>
    </row>
    <row r="40" spans="1:2" x14ac:dyDescent="0.2">
      <c r="A40" s="1">
        <v>46167</v>
      </c>
      <c r="B40">
        <v>16.59</v>
      </c>
    </row>
    <row r="41" spans="1:2" x14ac:dyDescent="0.2">
      <c r="A41" s="1">
        <v>46168</v>
      </c>
      <c r="B41">
        <v>17.010000000000002</v>
      </c>
    </row>
    <row r="42" spans="1:2" x14ac:dyDescent="0.2">
      <c r="A42" s="1">
        <v>46169</v>
      </c>
      <c r="B42">
        <v>16.29</v>
      </c>
    </row>
    <row r="43" spans="1:2" x14ac:dyDescent="0.2">
      <c r="A43" s="1">
        <v>46170</v>
      </c>
      <c r="B43">
        <v>15.74</v>
      </c>
    </row>
    <row r="44" spans="1:2" x14ac:dyDescent="0.2">
      <c r="A44" s="1">
        <v>46171</v>
      </c>
      <c r="B44">
        <v>15.32</v>
      </c>
    </row>
    <row r="45" spans="1:2" x14ac:dyDescent="0.2">
      <c r="A45" s="1">
        <v>46174</v>
      </c>
      <c r="B45">
        <v>16.05</v>
      </c>
    </row>
    <row r="46" spans="1:2" x14ac:dyDescent="0.2">
      <c r="A46" s="1">
        <v>46175</v>
      </c>
      <c r="B46">
        <v>15.77</v>
      </c>
    </row>
    <row r="47" spans="1:2" x14ac:dyDescent="0.2">
      <c r="A47" s="1">
        <v>46176</v>
      </c>
      <c r="B47">
        <v>16.059999999999999</v>
      </c>
    </row>
    <row r="48" spans="1:2" x14ac:dyDescent="0.2">
      <c r="A48" s="1">
        <v>46177</v>
      </c>
      <c r="B48">
        <v>15.4</v>
      </c>
    </row>
    <row r="49" spans="1:2" x14ac:dyDescent="0.2">
      <c r="A49" s="1">
        <v>46178</v>
      </c>
      <c r="B49">
        <v>21.51</v>
      </c>
    </row>
    <row r="50" spans="1:2" x14ac:dyDescent="0.2">
      <c r="A50" s="1">
        <v>46181</v>
      </c>
      <c r="B50">
        <v>18.920000000000002</v>
      </c>
    </row>
    <row r="51" spans="1:2" x14ac:dyDescent="0.2">
      <c r="A51" s="1">
        <v>46182</v>
      </c>
      <c r="B51">
        <v>19.87</v>
      </c>
    </row>
    <row r="52" spans="1:2" x14ac:dyDescent="0.2">
      <c r="A52" s="1">
        <v>46183</v>
      </c>
      <c r="B52">
        <v>22.22</v>
      </c>
    </row>
    <row r="53" spans="1:2" x14ac:dyDescent="0.2">
      <c r="A53" s="1">
        <v>46184</v>
      </c>
      <c r="B53">
        <v>19.440000000000001</v>
      </c>
    </row>
    <row r="54" spans="1:2" x14ac:dyDescent="0.2">
      <c r="A54" s="1">
        <v>46185</v>
      </c>
      <c r="B54">
        <v>17.68</v>
      </c>
    </row>
    <row r="55" spans="1:2" x14ac:dyDescent="0.2">
      <c r="A55" s="1">
        <v>46188</v>
      </c>
      <c r="B55">
        <v>16.2</v>
      </c>
    </row>
    <row r="56" spans="1:2" x14ac:dyDescent="0.2">
      <c r="A56" s="1">
        <v>46189</v>
      </c>
      <c r="B56">
        <v>16.41</v>
      </c>
    </row>
    <row r="57" spans="1:2" x14ac:dyDescent="0.2">
      <c r="A57" s="1">
        <v>46190</v>
      </c>
      <c r="B57">
        <v>18.440000000000001</v>
      </c>
    </row>
    <row r="58" spans="1:2" x14ac:dyDescent="0.2">
      <c r="A58" s="1">
        <v>46191</v>
      </c>
      <c r="B58">
        <v>16.399999999999999</v>
      </c>
    </row>
    <row r="59" spans="1:2" x14ac:dyDescent="0.2">
      <c r="A59" s="1">
        <v>46192</v>
      </c>
      <c r="B59">
        <v>16.78</v>
      </c>
    </row>
    <row r="60" spans="1:2" x14ac:dyDescent="0.2">
      <c r="A60" s="1">
        <v>46195</v>
      </c>
      <c r="B60">
        <v>17.28</v>
      </c>
    </row>
    <row r="61" spans="1:2" x14ac:dyDescent="0.2">
      <c r="A61" s="1">
        <v>46196</v>
      </c>
      <c r="B61">
        <v>19.489999999999998</v>
      </c>
    </row>
    <row r="62" spans="1:2" x14ac:dyDescent="0.2">
      <c r="A62" s="1">
        <v>46197</v>
      </c>
      <c r="B62">
        <v>18.63</v>
      </c>
    </row>
    <row r="63" spans="1:2" x14ac:dyDescent="0.2">
      <c r="A63" s="1">
        <v>46198</v>
      </c>
      <c r="B63">
        <v>18.89</v>
      </c>
    </row>
    <row r="64" spans="1:2" x14ac:dyDescent="0.2">
      <c r="A64" s="1">
        <v>46199</v>
      </c>
      <c r="B64">
        <v>18.41</v>
      </c>
    </row>
    <row r="65" spans="1:2" x14ac:dyDescent="0.2">
      <c r="A65" s="1">
        <v>46202</v>
      </c>
      <c r="B65">
        <v>17.649999999999999</v>
      </c>
    </row>
    <row r="66" spans="1:2" x14ac:dyDescent="0.2">
      <c r="A66" s="1">
        <v>46203</v>
      </c>
      <c r="B66">
        <v>16.45</v>
      </c>
    </row>
    <row r="67" spans="1:2" x14ac:dyDescent="0.2">
      <c r="A67" s="1">
        <v>46204</v>
      </c>
      <c r="B67">
        <v>16.59</v>
      </c>
    </row>
    <row r="68" spans="1:2" x14ac:dyDescent="0.2">
      <c r="A68" s="1">
        <v>46205</v>
      </c>
      <c r="B68">
        <v>16.149999999999999</v>
      </c>
    </row>
    <row r="69" spans="1:2" x14ac:dyDescent="0.2">
      <c r="A69" s="1">
        <v>46206</v>
      </c>
      <c r="B69">
        <v>15.81</v>
      </c>
    </row>
    <row r="70" spans="1:2" x14ac:dyDescent="0.2">
      <c r="A70" s="1">
        <v>46209</v>
      </c>
      <c r="B70">
        <v>15.57</v>
      </c>
    </row>
    <row r="71" spans="1:2" x14ac:dyDescent="0.2">
      <c r="A71" s="1">
        <v>46210</v>
      </c>
      <c r="B71">
        <v>16.13</v>
      </c>
    </row>
    <row r="72" spans="1:2" x14ac:dyDescent="0.2">
      <c r="A72" s="1">
        <v>46211</v>
      </c>
      <c r="B72">
        <v>16.899999999999999</v>
      </c>
    </row>
    <row r="73" spans="1:2" x14ac:dyDescent="0.2">
      <c r="A73" s="1">
        <v>46212</v>
      </c>
      <c r="B73">
        <v>15.84</v>
      </c>
    </row>
    <row r="74" spans="1:2" x14ac:dyDescent="0.2">
      <c r="A74" s="1">
        <v>46213</v>
      </c>
      <c r="B74">
        <v>15.03</v>
      </c>
    </row>
    <row r="75" spans="1:2" x14ac:dyDescent="0.2">
      <c r="A75" s="1">
        <v>46216</v>
      </c>
      <c r="B75">
        <v>17.16</v>
      </c>
    </row>
    <row r="76" spans="1:2" x14ac:dyDescent="0.2">
      <c r="A76" s="1">
        <v>46217</v>
      </c>
      <c r="B76">
        <v>16.5</v>
      </c>
    </row>
    <row r="77" spans="1:2" x14ac:dyDescent="0.2">
      <c r="A77" s="1">
        <v>46218</v>
      </c>
      <c r="B77">
        <v>15.67</v>
      </c>
    </row>
    <row r="78" spans="1:2" x14ac:dyDescent="0.2">
      <c r="A78" s="1">
        <v>46219</v>
      </c>
      <c r="B78">
        <v>16.73</v>
      </c>
    </row>
    <row r="79" spans="1:2" x14ac:dyDescent="0.2">
      <c r="A79" s="1">
        <v>46220</v>
      </c>
      <c r="B79">
        <v>18.77</v>
      </c>
    </row>
    <row r="80" spans="1:2" x14ac:dyDescent="0.2">
      <c r="A80" s="1">
        <v>46223</v>
      </c>
      <c r="B80">
        <v>18.649999999999999</v>
      </c>
    </row>
    <row r="81" spans="1:2" x14ac:dyDescent="0.2">
      <c r="A81" s="1">
        <v>46224</v>
      </c>
      <c r="B81">
        <v>17.05</v>
      </c>
    </row>
    <row r="82" spans="1:2" x14ac:dyDescent="0.2">
      <c r="A82" s="1">
        <v>46225</v>
      </c>
      <c r="B82">
        <v>16.64</v>
      </c>
    </row>
    <row r="83" spans="1:2" x14ac:dyDescent="0.2">
      <c r="A83" s="1">
        <v>46226</v>
      </c>
      <c r="B83">
        <v>18.7</v>
      </c>
    </row>
    <row r="84" spans="1:2" x14ac:dyDescent="0.2">
      <c r="A84" s="1">
        <v>46227</v>
      </c>
      <c r="B84">
        <v>18.579999999999998</v>
      </c>
    </row>
    <row r="85" spans="1:2" x14ac:dyDescent="0.2">
      <c r="A85" s="1">
        <v>46230</v>
      </c>
      <c r="B85">
        <v>18.670000000000002</v>
      </c>
    </row>
    <row r="86" spans="1:2" x14ac:dyDescent="0.2">
      <c r="A86" s="1">
        <v>46231</v>
      </c>
      <c r="B86">
        <v>18.21</v>
      </c>
    </row>
    <row r="87" spans="1:2" x14ac:dyDescent="0.2">
      <c r="A87" s="1">
        <v>46232</v>
      </c>
      <c r="B87">
        <v>20.66</v>
      </c>
    </row>
    <row r="88" spans="1:2" x14ac:dyDescent="0.2">
      <c r="A88" s="1">
        <v>46233</v>
      </c>
      <c r="B88">
        <v>17.09</v>
      </c>
    </row>
    <row r="89" spans="1:2" x14ac:dyDescent="0.2">
      <c r="A89" s="1">
        <v>46234</v>
      </c>
      <c r="B89">
        <v>15.99</v>
      </c>
    </row>
    <row r="90" spans="1:2" x14ac:dyDescent="0.2">
      <c r="A90" s="1">
        <v>46237</v>
      </c>
      <c r="B90">
        <v>15.86</v>
      </c>
    </row>
    <row r="91" spans="1:2" x14ac:dyDescent="0.2">
      <c r="A91" s="1">
        <v>46238</v>
      </c>
      <c r="B91">
        <v>16.5</v>
      </c>
    </row>
    <row r="92" spans="1:2" x14ac:dyDescent="0.2">
      <c r="A92" s="1">
        <v>46239</v>
      </c>
      <c r="B92">
        <v>15.81</v>
      </c>
    </row>
    <row r="93" spans="1:2" x14ac:dyDescent="0.2">
      <c r="A93" s="1">
        <v>46240</v>
      </c>
      <c r="B93">
        <v>15.15</v>
      </c>
    </row>
    <row r="94" spans="1:2" x14ac:dyDescent="0.2">
      <c r="A94" s="1">
        <v>46241</v>
      </c>
      <c r="B94">
        <v>14.9</v>
      </c>
    </row>
    <row r="95" spans="1:2" x14ac:dyDescent="0.2">
      <c r="A95" s="1">
        <v>46244</v>
      </c>
      <c r="B95">
        <v>15.46</v>
      </c>
    </row>
    <row r="96" spans="1:2" x14ac:dyDescent="0.2">
      <c r="A96" s="1">
        <v>46245</v>
      </c>
      <c r="B96">
        <v>15.28</v>
      </c>
    </row>
    <row r="97" spans="1:2" x14ac:dyDescent="0.2">
      <c r="A97" s="1">
        <v>46246</v>
      </c>
      <c r="B97">
        <v>14.55</v>
      </c>
    </row>
    <row r="98" spans="1:2" x14ac:dyDescent="0.2">
      <c r="A98" s="1">
        <v>46247</v>
      </c>
      <c r="B98">
        <v>14.63</v>
      </c>
    </row>
    <row r="99" spans="1:2" x14ac:dyDescent="0.2">
      <c r="A99" s="1">
        <v>46248</v>
      </c>
      <c r="B99">
        <v>14.25</v>
      </c>
    </row>
    <row r="100" spans="1:2" x14ac:dyDescent="0.2">
      <c r="A100" s="1">
        <v>46251</v>
      </c>
      <c r="B100">
        <v>15.19</v>
      </c>
    </row>
    <row r="101" spans="1:2" x14ac:dyDescent="0.2">
      <c r="A101" s="1">
        <v>46252</v>
      </c>
      <c r="B101">
        <v>15.84</v>
      </c>
    </row>
    <row r="102" spans="1:2" x14ac:dyDescent="0.2">
      <c r="A102" s="1">
        <v>46253</v>
      </c>
      <c r="B102">
        <v>14.89</v>
      </c>
    </row>
    <row r="103" spans="1:2" x14ac:dyDescent="0.2">
      <c r="A103" s="1">
        <v>46254</v>
      </c>
      <c r="B103">
        <v>16.010000000000002</v>
      </c>
    </row>
    <row r="104" spans="1:2" x14ac:dyDescent="0.2">
      <c r="A104" s="1">
        <v>46255</v>
      </c>
      <c r="B104">
        <v>15.13</v>
      </c>
    </row>
    <row r="105" spans="1:2" x14ac:dyDescent="0.2">
      <c r="A105" s="1">
        <v>46258</v>
      </c>
      <c r="B105">
        <v>15.85</v>
      </c>
    </row>
    <row r="106" spans="1:2" x14ac:dyDescent="0.2">
      <c r="A106" s="1">
        <v>46259</v>
      </c>
      <c r="B106">
        <v>15.45</v>
      </c>
    </row>
    <row r="107" spans="1:2" x14ac:dyDescent="0.2">
      <c r="A107" s="1">
        <v>46260</v>
      </c>
      <c r="B107">
        <v>15.21</v>
      </c>
    </row>
    <row r="108" spans="1:2" x14ac:dyDescent="0.2">
      <c r="A108" s="1">
        <v>46261</v>
      </c>
      <c r="B108">
        <v>14.51</v>
      </c>
    </row>
    <row r="109" spans="1:2" x14ac:dyDescent="0.2">
      <c r="A109" s="1">
        <v>46262</v>
      </c>
      <c r="B109">
        <v>14.43</v>
      </c>
    </row>
    <row r="110" spans="1:2" x14ac:dyDescent="0.2">
      <c r="A110" s="1">
        <v>46265</v>
      </c>
      <c r="B110">
        <v>14.92</v>
      </c>
    </row>
    <row r="111" spans="1:2" x14ac:dyDescent="0.2">
      <c r="A111" s="1">
        <v>46266</v>
      </c>
      <c r="B111">
        <v>16.34</v>
      </c>
    </row>
    <row r="112" spans="1:2" x14ac:dyDescent="0.2">
      <c r="A112" s="1">
        <v>46267</v>
      </c>
      <c r="B112">
        <v>15.2</v>
      </c>
    </row>
    <row r="113" spans="1:2" x14ac:dyDescent="0.2">
      <c r="A113" s="1">
        <v>46268</v>
      </c>
      <c r="B113">
        <v>14.32</v>
      </c>
    </row>
    <row r="114" spans="1:2" x14ac:dyDescent="0.2">
      <c r="A114" s="1">
        <v>46269</v>
      </c>
      <c r="B114">
        <v>14.53</v>
      </c>
    </row>
    <row r="115" spans="1:2" x14ac:dyDescent="0.2">
      <c r="A115" s="1">
        <v>46272</v>
      </c>
      <c r="B115">
        <v>15.3</v>
      </c>
    </row>
    <row r="116" spans="1:2" x14ac:dyDescent="0.2">
      <c r="A116" s="1">
        <v>46273</v>
      </c>
      <c r="B116">
        <v>15.72</v>
      </c>
    </row>
    <row r="117" spans="1:2" x14ac:dyDescent="0.2">
      <c r="A117" s="1">
        <v>46274</v>
      </c>
      <c r="B117">
        <v>16.46</v>
      </c>
    </row>
    <row r="118" spans="1:2" x14ac:dyDescent="0.2">
      <c r="A118" s="1">
        <v>46275</v>
      </c>
      <c r="B118">
        <v>17.84</v>
      </c>
    </row>
    <row r="119" spans="1:2" x14ac:dyDescent="0.2">
      <c r="A119" s="1">
        <v>46276</v>
      </c>
      <c r="B119">
        <v>15.84</v>
      </c>
    </row>
    <row r="120" spans="1:2" x14ac:dyDescent="0.2">
      <c r="A120" s="1">
        <v>46279</v>
      </c>
      <c r="B120">
        <v>17.100000000000001</v>
      </c>
    </row>
    <row r="121" spans="1:2" x14ac:dyDescent="0.2">
      <c r="A121" s="1">
        <v>46280</v>
      </c>
      <c r="B121">
        <v>17.2</v>
      </c>
    </row>
    <row r="122" spans="1:2" x14ac:dyDescent="0.2">
      <c r="A122" s="1">
        <v>46281</v>
      </c>
      <c r="B122">
        <v>17.71</v>
      </c>
    </row>
    <row r="123" spans="1:2" x14ac:dyDescent="0.2">
      <c r="A123" s="1">
        <v>46282</v>
      </c>
      <c r="B123">
        <v>15.44</v>
      </c>
    </row>
    <row r="124" spans="1:2" x14ac:dyDescent="0.2">
      <c r="A124" s="1">
        <v>46283</v>
      </c>
      <c r="B124">
        <v>14.81</v>
      </c>
    </row>
    <row r="125" spans="1:2" x14ac:dyDescent="0.2">
      <c r="A125" s="1">
        <v>46286</v>
      </c>
      <c r="B125">
        <v>14.87</v>
      </c>
    </row>
    <row r="126" spans="1:2" x14ac:dyDescent="0.2">
      <c r="A126" s="1">
        <v>46287</v>
      </c>
      <c r="B126">
        <v>14.21</v>
      </c>
    </row>
    <row r="127" spans="1:2" x14ac:dyDescent="0.2">
      <c r="A127" s="1">
        <v>46288</v>
      </c>
      <c r="B127">
        <v>15.18</v>
      </c>
    </row>
    <row r="128" spans="1:2" x14ac:dyDescent="0.2">
      <c r="A128" s="1">
        <v>46289</v>
      </c>
      <c r="B128">
        <v>15.67</v>
      </c>
    </row>
    <row r="129" spans="1:2" x14ac:dyDescent="0.2">
      <c r="A129" s="1">
        <v>46290</v>
      </c>
      <c r="B129">
        <v>14.87</v>
      </c>
    </row>
    <row r="130" spans="1:2" x14ac:dyDescent="0.2">
      <c r="A130" s="1">
        <v>46293</v>
      </c>
      <c r="B130">
        <v>16.07</v>
      </c>
    </row>
    <row r="131" spans="1:2" x14ac:dyDescent="0.2">
      <c r="A131" s="1">
        <v>46294</v>
      </c>
      <c r="B131">
        <v>16.04</v>
      </c>
    </row>
    <row r="132" spans="1:2" x14ac:dyDescent="0.2">
      <c r="A132" s="1">
        <v>46295</v>
      </c>
      <c r="B132">
        <v>16.34</v>
      </c>
    </row>
    <row r="133" spans="1:2" x14ac:dyDescent="0.2">
      <c r="A133" s="1">
        <v>46296</v>
      </c>
      <c r="B133">
        <v>16.39</v>
      </c>
    </row>
    <row r="134" spans="1:2" x14ac:dyDescent="0.2">
      <c r="A134" s="1">
        <v>46297</v>
      </c>
      <c r="B134">
        <v>15.31</v>
      </c>
    </row>
    <row r="135" spans="1:2" x14ac:dyDescent="0.2">
      <c r="A135" s="1">
        <v>46300</v>
      </c>
      <c r="B135">
        <v>15.52</v>
      </c>
    </row>
    <row r="136" spans="1:2" x14ac:dyDescent="0.2">
      <c r="A136" s="1">
        <v>46301</v>
      </c>
      <c r="B136">
        <v>15.01</v>
      </c>
    </row>
    <row r="137" spans="1:2" x14ac:dyDescent="0.2">
      <c r="A137" s="1">
        <v>46302</v>
      </c>
      <c r="B137">
        <v>15.08</v>
      </c>
    </row>
    <row r="138" spans="1:2" x14ac:dyDescent="0.2">
      <c r="A138" s="1">
        <v>46303</v>
      </c>
      <c r="B138">
        <v>15.41</v>
      </c>
    </row>
    <row r="139" spans="1:2" x14ac:dyDescent="0.2">
      <c r="A139" s="1">
        <v>46304</v>
      </c>
      <c r="B139">
        <v>14.84</v>
      </c>
    </row>
    <row r="140" spans="1:2" x14ac:dyDescent="0.2">
      <c r="A140" s="1">
        <v>46307</v>
      </c>
      <c r="B140">
        <v>15.21</v>
      </c>
    </row>
    <row r="141" spans="1:2" x14ac:dyDescent="0.2">
      <c r="A141" s="1">
        <v>46308</v>
      </c>
      <c r="B141">
        <v>15.27</v>
      </c>
    </row>
    <row r="142" spans="1:2" x14ac:dyDescent="0.2">
      <c r="A142" s="1">
        <v>46309</v>
      </c>
      <c r="B142">
        <v>16.87</v>
      </c>
    </row>
    <row r="143" spans="1:2" x14ac:dyDescent="0.2">
      <c r="A143" s="1">
        <v>46310</v>
      </c>
      <c r="B143">
        <v>16.46</v>
      </c>
    </row>
    <row r="144" spans="1:2" x14ac:dyDescent="0.2">
      <c r="A144" s="1">
        <v>46311</v>
      </c>
      <c r="B144">
        <v>19.989999999999998</v>
      </c>
    </row>
    <row r="145" spans="1:2" x14ac:dyDescent="0.2">
      <c r="A145" s="1">
        <v>46314</v>
      </c>
      <c r="B145">
        <v>18.440000000000001</v>
      </c>
    </row>
    <row r="146" spans="1:2" x14ac:dyDescent="0.2">
      <c r="A146" s="1">
        <v>46315</v>
      </c>
      <c r="B146">
        <v>17.309999999999999</v>
      </c>
    </row>
    <row r="147" spans="1:2" x14ac:dyDescent="0.2">
      <c r="A147" s="1">
        <v>46316</v>
      </c>
      <c r="B147">
        <v>16.68</v>
      </c>
    </row>
    <row r="148" spans="1:2" x14ac:dyDescent="0.2">
      <c r="A148" s="1">
        <v>46317</v>
      </c>
      <c r="B148">
        <v>19.03</v>
      </c>
    </row>
    <row r="149" spans="1:2" x14ac:dyDescent="0.2">
      <c r="A149" s="1">
        <v>46318</v>
      </c>
      <c r="B149">
        <v>19.45</v>
      </c>
    </row>
    <row r="150" spans="1:2" x14ac:dyDescent="0.2">
      <c r="A150" s="1">
        <v>46321</v>
      </c>
      <c r="B150">
        <v>18.39</v>
      </c>
    </row>
    <row r="151" spans="1:2" x14ac:dyDescent="0.2">
      <c r="A151" s="1">
        <v>46322</v>
      </c>
      <c r="B151">
        <v>17.52</v>
      </c>
    </row>
    <row r="152" spans="1:2" x14ac:dyDescent="0.2">
      <c r="A152" s="1">
        <v>46323</v>
      </c>
      <c r="B152">
        <v>16.91</v>
      </c>
    </row>
  </sheetData>
  <autoFilter ref="A1:B152" xr:uid="{D1544BB5-8A89-BD48-8E8D-7E3FB05A97E4}">
    <filterColumn colId="1">
      <customFilters>
        <customFilter operator="notEqual" val=" "/>
      </customFilters>
    </filterColumn>
  </autoFilter>
  <mergeCells count="3">
    <mergeCell ref="D11:E11"/>
    <mergeCell ref="D12:E12"/>
    <mergeCell ref="D14:E14"/>
  </mergeCells>
  <conditionalFormatting sqref="A1:A15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08DF-B700-A443-B8A9-4EBD19E6AC9E}">
  <dimension ref="A1:B152"/>
  <sheetViews>
    <sheetView workbookViewId="0">
      <selection activeCell="D30" sqref="D30"/>
    </sheetView>
  </sheetViews>
  <sheetFormatPr baseColWidth="10" defaultRowHeight="16" x14ac:dyDescent="0.2"/>
  <sheetData>
    <row r="1" spans="1:2" x14ac:dyDescent="0.2">
      <c r="A1" t="s">
        <v>151</v>
      </c>
      <c r="B1" t="s">
        <v>152</v>
      </c>
    </row>
    <row r="2" spans="1:2" x14ac:dyDescent="0.2">
      <c r="A2" s="1">
        <v>46113</v>
      </c>
      <c r="B2">
        <v>24.54</v>
      </c>
    </row>
    <row r="3" spans="1:2" x14ac:dyDescent="0.2">
      <c r="A3" s="1">
        <v>46114</v>
      </c>
      <c r="B3">
        <v>23.87</v>
      </c>
    </row>
    <row r="4" spans="1:2" x14ac:dyDescent="0.2">
      <c r="A4" s="1">
        <v>46115</v>
      </c>
    </row>
    <row r="5" spans="1:2" x14ac:dyDescent="0.2">
      <c r="A5" s="1">
        <v>46118</v>
      </c>
      <c r="B5">
        <v>24.17</v>
      </c>
    </row>
    <row r="6" spans="1:2" x14ac:dyDescent="0.2">
      <c r="A6" s="1">
        <v>46119</v>
      </c>
      <c r="B6">
        <v>25.78</v>
      </c>
    </row>
    <row r="7" spans="1:2" x14ac:dyDescent="0.2">
      <c r="A7" s="1">
        <v>46120</v>
      </c>
      <c r="B7">
        <v>21.04</v>
      </c>
    </row>
    <row r="8" spans="1:2" x14ac:dyDescent="0.2">
      <c r="A8" s="1">
        <v>46121</v>
      </c>
      <c r="B8">
        <v>19.489999999999998</v>
      </c>
    </row>
    <row r="9" spans="1:2" x14ac:dyDescent="0.2">
      <c r="A9" s="1">
        <v>46122</v>
      </c>
      <c r="B9">
        <v>19.23</v>
      </c>
    </row>
    <row r="10" spans="1:2" x14ac:dyDescent="0.2">
      <c r="A10" s="1">
        <v>46125</v>
      </c>
      <c r="B10">
        <v>19.12</v>
      </c>
    </row>
    <row r="11" spans="1:2" x14ac:dyDescent="0.2">
      <c r="A11" s="1">
        <v>46126</v>
      </c>
      <c r="B11">
        <v>18.36</v>
      </c>
    </row>
    <row r="12" spans="1:2" x14ac:dyDescent="0.2">
      <c r="A12" s="1">
        <v>46127</v>
      </c>
      <c r="B12">
        <v>18.170000000000002</v>
      </c>
    </row>
    <row r="13" spans="1:2" x14ac:dyDescent="0.2">
      <c r="A13" s="1">
        <v>46128</v>
      </c>
      <c r="B13">
        <v>17.940000000000001</v>
      </c>
    </row>
    <row r="14" spans="1:2" x14ac:dyDescent="0.2">
      <c r="A14" s="1">
        <v>46129</v>
      </c>
      <c r="B14">
        <v>17.48</v>
      </c>
    </row>
    <row r="15" spans="1:2" x14ac:dyDescent="0.2">
      <c r="A15" s="1">
        <v>46132</v>
      </c>
      <c r="B15">
        <v>18.87</v>
      </c>
    </row>
    <row r="16" spans="1:2" x14ac:dyDescent="0.2">
      <c r="A16" s="1">
        <v>46133</v>
      </c>
      <c r="B16">
        <v>19.5</v>
      </c>
    </row>
    <row r="17" spans="1:2" x14ac:dyDescent="0.2">
      <c r="A17" s="1">
        <v>46134</v>
      </c>
      <c r="B17">
        <v>18.920000000000002</v>
      </c>
    </row>
    <row r="18" spans="1:2" x14ac:dyDescent="0.2">
      <c r="A18" s="1">
        <v>46135</v>
      </c>
      <c r="B18">
        <v>19.309999999999999</v>
      </c>
    </row>
    <row r="19" spans="1:2" x14ac:dyDescent="0.2">
      <c r="A19" s="1">
        <v>46136</v>
      </c>
      <c r="B19">
        <v>18.71</v>
      </c>
    </row>
    <row r="20" spans="1:2" x14ac:dyDescent="0.2">
      <c r="A20" s="1">
        <v>46139</v>
      </c>
      <c r="B20">
        <v>18.02</v>
      </c>
    </row>
    <row r="21" spans="1:2" x14ac:dyDescent="0.2">
      <c r="A21" s="1">
        <v>46140</v>
      </c>
      <c r="B21">
        <v>17.829999999999998</v>
      </c>
    </row>
    <row r="22" spans="1:2" x14ac:dyDescent="0.2">
      <c r="A22" s="1">
        <v>46141</v>
      </c>
      <c r="B22">
        <v>18.809999999999999</v>
      </c>
    </row>
    <row r="23" spans="1:2" x14ac:dyDescent="0.2">
      <c r="A23" s="1">
        <v>46142</v>
      </c>
      <c r="B23">
        <v>16.89</v>
      </c>
    </row>
    <row r="24" spans="1:2" x14ac:dyDescent="0.2">
      <c r="A24" s="1">
        <v>46143</v>
      </c>
      <c r="B24">
        <v>16.989999999999998</v>
      </c>
    </row>
    <row r="25" spans="1:2" x14ac:dyDescent="0.2">
      <c r="A25" s="1">
        <v>46146</v>
      </c>
      <c r="B25">
        <v>18.29</v>
      </c>
    </row>
    <row r="26" spans="1:2" x14ac:dyDescent="0.2">
      <c r="A26" s="1">
        <v>46147</v>
      </c>
      <c r="B26">
        <v>17.38</v>
      </c>
    </row>
    <row r="27" spans="1:2" x14ac:dyDescent="0.2">
      <c r="A27" s="1">
        <v>46148</v>
      </c>
      <c r="B27">
        <v>17.39</v>
      </c>
    </row>
    <row r="28" spans="1:2" x14ac:dyDescent="0.2">
      <c r="A28" s="1">
        <v>46149</v>
      </c>
      <c r="B28">
        <v>17.079999999999998</v>
      </c>
    </row>
    <row r="29" spans="1:2" x14ac:dyDescent="0.2">
      <c r="A29" s="1">
        <v>46150</v>
      </c>
      <c r="B29">
        <v>17.190000000000001</v>
      </c>
    </row>
    <row r="30" spans="1:2" x14ac:dyDescent="0.2">
      <c r="A30" s="1">
        <v>46153</v>
      </c>
      <c r="B30">
        <v>18.38</v>
      </c>
    </row>
    <row r="31" spans="1:2" x14ac:dyDescent="0.2">
      <c r="A31" s="1">
        <v>46154</v>
      </c>
      <c r="B31">
        <v>17.989999999999998</v>
      </c>
    </row>
    <row r="32" spans="1:2" x14ac:dyDescent="0.2">
      <c r="A32" s="1">
        <v>46155</v>
      </c>
      <c r="B32">
        <v>17.87</v>
      </c>
    </row>
    <row r="33" spans="1:2" x14ac:dyDescent="0.2">
      <c r="A33" s="1">
        <v>46156</v>
      </c>
      <c r="B33">
        <v>17.260000000000002</v>
      </c>
    </row>
    <row r="34" spans="1:2" x14ac:dyDescent="0.2">
      <c r="A34" s="1">
        <v>46157</v>
      </c>
      <c r="B34">
        <v>18.43</v>
      </c>
    </row>
    <row r="35" spans="1:2" x14ac:dyDescent="0.2">
      <c r="A35" s="1">
        <v>46160</v>
      </c>
      <c r="B35">
        <v>17.82</v>
      </c>
    </row>
    <row r="36" spans="1:2" x14ac:dyDescent="0.2">
      <c r="A36" s="1">
        <v>46161</v>
      </c>
      <c r="B36">
        <v>18.059999999999999</v>
      </c>
    </row>
    <row r="37" spans="1:2" x14ac:dyDescent="0.2">
      <c r="A37" s="1">
        <v>46162</v>
      </c>
      <c r="B37">
        <v>17.440000000000001</v>
      </c>
    </row>
    <row r="38" spans="1:2" x14ac:dyDescent="0.2">
      <c r="A38" s="1">
        <v>46163</v>
      </c>
      <c r="B38">
        <v>16.760000000000002</v>
      </c>
    </row>
    <row r="39" spans="1:2" x14ac:dyDescent="0.2">
      <c r="A39" s="1">
        <v>46164</v>
      </c>
      <c r="B39">
        <v>16.7</v>
      </c>
    </row>
    <row r="40" spans="1:2" x14ac:dyDescent="0.2">
      <c r="A40" s="1">
        <v>46167</v>
      </c>
      <c r="B40">
        <v>16.59</v>
      </c>
    </row>
    <row r="41" spans="1:2" x14ac:dyDescent="0.2">
      <c r="A41" s="1">
        <v>46168</v>
      </c>
      <c r="B41">
        <v>17.010000000000002</v>
      </c>
    </row>
    <row r="42" spans="1:2" x14ac:dyDescent="0.2">
      <c r="A42" s="1">
        <v>46169</v>
      </c>
      <c r="B42">
        <v>16.29</v>
      </c>
    </row>
    <row r="43" spans="1:2" x14ac:dyDescent="0.2">
      <c r="A43" s="1">
        <v>46170</v>
      </c>
      <c r="B43">
        <v>15.74</v>
      </c>
    </row>
    <row r="44" spans="1:2" x14ac:dyDescent="0.2">
      <c r="A44" s="1">
        <v>46171</v>
      </c>
      <c r="B44">
        <v>15.32</v>
      </c>
    </row>
    <row r="45" spans="1:2" x14ac:dyDescent="0.2">
      <c r="A45" s="1">
        <v>46174</v>
      </c>
      <c r="B45">
        <v>16.05</v>
      </c>
    </row>
    <row r="46" spans="1:2" x14ac:dyDescent="0.2">
      <c r="A46" s="1">
        <v>46175</v>
      </c>
      <c r="B46">
        <v>15.77</v>
      </c>
    </row>
    <row r="47" spans="1:2" x14ac:dyDescent="0.2">
      <c r="A47" s="1">
        <v>46176</v>
      </c>
      <c r="B47">
        <v>16.059999999999999</v>
      </c>
    </row>
    <row r="48" spans="1:2" x14ac:dyDescent="0.2">
      <c r="A48" s="1">
        <v>46177</v>
      </c>
      <c r="B48">
        <v>15.4</v>
      </c>
    </row>
    <row r="49" spans="1:2" x14ac:dyDescent="0.2">
      <c r="A49" s="1">
        <v>46178</v>
      </c>
      <c r="B49">
        <v>21.51</v>
      </c>
    </row>
    <row r="50" spans="1:2" x14ac:dyDescent="0.2">
      <c r="A50" s="1">
        <v>46181</v>
      </c>
      <c r="B50">
        <v>18.920000000000002</v>
      </c>
    </row>
    <row r="51" spans="1:2" x14ac:dyDescent="0.2">
      <c r="A51" s="1">
        <v>46182</v>
      </c>
      <c r="B51">
        <v>19.87</v>
      </c>
    </row>
    <row r="52" spans="1:2" x14ac:dyDescent="0.2">
      <c r="A52" s="1">
        <v>46183</v>
      </c>
      <c r="B52">
        <v>22.22</v>
      </c>
    </row>
    <row r="53" spans="1:2" x14ac:dyDescent="0.2">
      <c r="A53" s="1">
        <v>46184</v>
      </c>
      <c r="B53">
        <v>19.440000000000001</v>
      </c>
    </row>
    <row r="54" spans="1:2" x14ac:dyDescent="0.2">
      <c r="A54" s="1">
        <v>46185</v>
      </c>
      <c r="B54">
        <v>17.68</v>
      </c>
    </row>
    <row r="55" spans="1:2" x14ac:dyDescent="0.2">
      <c r="A55" s="1">
        <v>46188</v>
      </c>
      <c r="B55">
        <v>16.2</v>
      </c>
    </row>
    <row r="56" spans="1:2" x14ac:dyDescent="0.2">
      <c r="A56" s="1">
        <v>46189</v>
      </c>
      <c r="B56">
        <v>16.41</v>
      </c>
    </row>
    <row r="57" spans="1:2" x14ac:dyDescent="0.2">
      <c r="A57" s="1">
        <v>46190</v>
      </c>
      <c r="B57">
        <v>18.440000000000001</v>
      </c>
    </row>
    <row r="58" spans="1:2" x14ac:dyDescent="0.2">
      <c r="A58" s="1">
        <v>46191</v>
      </c>
      <c r="B58">
        <v>16.399999999999999</v>
      </c>
    </row>
    <row r="59" spans="1:2" x14ac:dyDescent="0.2">
      <c r="A59" s="1">
        <v>46192</v>
      </c>
      <c r="B59">
        <v>16.78</v>
      </c>
    </row>
    <row r="60" spans="1:2" x14ac:dyDescent="0.2">
      <c r="A60" s="1">
        <v>46195</v>
      </c>
      <c r="B60">
        <v>17.28</v>
      </c>
    </row>
    <row r="61" spans="1:2" x14ac:dyDescent="0.2">
      <c r="A61" s="1">
        <v>46196</v>
      </c>
      <c r="B61">
        <v>19.489999999999998</v>
      </c>
    </row>
    <row r="62" spans="1:2" x14ac:dyDescent="0.2">
      <c r="A62" s="1">
        <v>46197</v>
      </c>
      <c r="B62">
        <v>18.63</v>
      </c>
    </row>
    <row r="63" spans="1:2" x14ac:dyDescent="0.2">
      <c r="A63" s="1">
        <v>46198</v>
      </c>
      <c r="B63">
        <v>18.89</v>
      </c>
    </row>
    <row r="64" spans="1:2" x14ac:dyDescent="0.2">
      <c r="A64" s="1">
        <v>46199</v>
      </c>
      <c r="B64">
        <v>18.41</v>
      </c>
    </row>
    <row r="65" spans="1:2" x14ac:dyDescent="0.2">
      <c r="A65" s="1">
        <v>46202</v>
      </c>
      <c r="B65">
        <v>17.649999999999999</v>
      </c>
    </row>
    <row r="66" spans="1:2" x14ac:dyDescent="0.2">
      <c r="A66" s="1">
        <v>46203</v>
      </c>
      <c r="B66">
        <v>16.45</v>
      </c>
    </row>
    <row r="67" spans="1:2" x14ac:dyDescent="0.2">
      <c r="A67" s="1">
        <v>46204</v>
      </c>
      <c r="B67">
        <v>16.59</v>
      </c>
    </row>
    <row r="68" spans="1:2" x14ac:dyDescent="0.2">
      <c r="A68" s="1">
        <v>46205</v>
      </c>
      <c r="B68">
        <v>16.149999999999999</v>
      </c>
    </row>
    <row r="69" spans="1:2" x14ac:dyDescent="0.2">
      <c r="A69" s="1">
        <v>46206</v>
      </c>
      <c r="B69">
        <v>15.81</v>
      </c>
    </row>
    <row r="70" spans="1:2" x14ac:dyDescent="0.2">
      <c r="A70" s="1">
        <v>46209</v>
      </c>
      <c r="B70">
        <v>15.57</v>
      </c>
    </row>
    <row r="71" spans="1:2" x14ac:dyDescent="0.2">
      <c r="A71" s="1">
        <v>46210</v>
      </c>
      <c r="B71">
        <v>16.13</v>
      </c>
    </row>
    <row r="72" spans="1:2" x14ac:dyDescent="0.2">
      <c r="A72" s="1">
        <v>46211</v>
      </c>
      <c r="B72">
        <v>16.899999999999999</v>
      </c>
    </row>
    <row r="73" spans="1:2" x14ac:dyDescent="0.2">
      <c r="A73" s="1">
        <v>46212</v>
      </c>
      <c r="B73">
        <v>15.84</v>
      </c>
    </row>
    <row r="74" spans="1:2" x14ac:dyDescent="0.2">
      <c r="A74" s="1">
        <v>46213</v>
      </c>
      <c r="B74">
        <v>15.03</v>
      </c>
    </row>
    <row r="75" spans="1:2" x14ac:dyDescent="0.2">
      <c r="A75" s="1">
        <v>46216</v>
      </c>
      <c r="B75">
        <v>17.16</v>
      </c>
    </row>
    <row r="76" spans="1:2" x14ac:dyDescent="0.2">
      <c r="A76" s="1">
        <v>46217</v>
      </c>
      <c r="B76">
        <v>16.5</v>
      </c>
    </row>
    <row r="77" spans="1:2" x14ac:dyDescent="0.2">
      <c r="A77" s="1">
        <v>46218</v>
      </c>
      <c r="B77">
        <v>15.67</v>
      </c>
    </row>
    <row r="78" spans="1:2" x14ac:dyDescent="0.2">
      <c r="A78" s="1">
        <v>46219</v>
      </c>
      <c r="B78">
        <v>16.73</v>
      </c>
    </row>
    <row r="79" spans="1:2" x14ac:dyDescent="0.2">
      <c r="A79" s="1">
        <v>46220</v>
      </c>
      <c r="B79">
        <v>18.77</v>
      </c>
    </row>
    <row r="80" spans="1:2" x14ac:dyDescent="0.2">
      <c r="A80" s="1">
        <v>46223</v>
      </c>
      <c r="B80">
        <v>18.649999999999999</v>
      </c>
    </row>
    <row r="81" spans="1:2" x14ac:dyDescent="0.2">
      <c r="A81" s="1">
        <v>46224</v>
      </c>
      <c r="B81">
        <v>17.05</v>
      </c>
    </row>
    <row r="82" spans="1:2" x14ac:dyDescent="0.2">
      <c r="A82" s="1">
        <v>46225</v>
      </c>
      <c r="B82">
        <v>16.64</v>
      </c>
    </row>
    <row r="83" spans="1:2" x14ac:dyDescent="0.2">
      <c r="A83" s="1">
        <v>46226</v>
      </c>
      <c r="B83">
        <v>18.7</v>
      </c>
    </row>
    <row r="84" spans="1:2" x14ac:dyDescent="0.2">
      <c r="A84" s="1">
        <v>46227</v>
      </c>
      <c r="B84">
        <v>18.579999999999998</v>
      </c>
    </row>
    <row r="85" spans="1:2" x14ac:dyDescent="0.2">
      <c r="A85" s="1">
        <v>46230</v>
      </c>
      <c r="B85">
        <v>18.670000000000002</v>
      </c>
    </row>
    <row r="86" spans="1:2" x14ac:dyDescent="0.2">
      <c r="A86" s="1">
        <v>46231</v>
      </c>
      <c r="B86">
        <v>18.21</v>
      </c>
    </row>
    <row r="87" spans="1:2" x14ac:dyDescent="0.2">
      <c r="A87" s="1">
        <v>46232</v>
      </c>
      <c r="B87">
        <v>20.66</v>
      </c>
    </row>
    <row r="88" spans="1:2" x14ac:dyDescent="0.2">
      <c r="A88" s="1">
        <v>46233</v>
      </c>
      <c r="B88">
        <v>17.09</v>
      </c>
    </row>
    <row r="89" spans="1:2" x14ac:dyDescent="0.2">
      <c r="A89" s="1">
        <v>46234</v>
      </c>
      <c r="B89">
        <v>15.99</v>
      </c>
    </row>
    <row r="90" spans="1:2" x14ac:dyDescent="0.2">
      <c r="A90" s="1">
        <v>46237</v>
      </c>
      <c r="B90">
        <v>15.86</v>
      </c>
    </row>
    <row r="91" spans="1:2" x14ac:dyDescent="0.2">
      <c r="A91" s="1">
        <v>46238</v>
      </c>
      <c r="B91">
        <v>16.5</v>
      </c>
    </row>
    <row r="92" spans="1:2" x14ac:dyDescent="0.2">
      <c r="A92" s="1">
        <v>46239</v>
      </c>
      <c r="B92">
        <v>15.81</v>
      </c>
    </row>
    <row r="93" spans="1:2" x14ac:dyDescent="0.2">
      <c r="A93" s="1">
        <v>46240</v>
      </c>
      <c r="B93">
        <v>15.15</v>
      </c>
    </row>
    <row r="94" spans="1:2" x14ac:dyDescent="0.2">
      <c r="A94" s="1">
        <v>46241</v>
      </c>
      <c r="B94">
        <v>14.9</v>
      </c>
    </row>
    <row r="95" spans="1:2" x14ac:dyDescent="0.2">
      <c r="A95" s="1">
        <v>46244</v>
      </c>
      <c r="B95">
        <v>15.46</v>
      </c>
    </row>
    <row r="96" spans="1:2" x14ac:dyDescent="0.2">
      <c r="A96" s="1">
        <v>46245</v>
      </c>
      <c r="B96">
        <v>15.28</v>
      </c>
    </row>
    <row r="97" spans="1:2" x14ac:dyDescent="0.2">
      <c r="A97" s="1">
        <v>46246</v>
      </c>
      <c r="B97">
        <v>14.55</v>
      </c>
    </row>
    <row r="98" spans="1:2" x14ac:dyDescent="0.2">
      <c r="A98" s="1">
        <v>46247</v>
      </c>
      <c r="B98">
        <v>14.63</v>
      </c>
    </row>
    <row r="99" spans="1:2" x14ac:dyDescent="0.2">
      <c r="A99" s="1">
        <v>46248</v>
      </c>
      <c r="B99">
        <v>14.25</v>
      </c>
    </row>
    <row r="100" spans="1:2" x14ac:dyDescent="0.2">
      <c r="A100" s="1">
        <v>46251</v>
      </c>
      <c r="B100">
        <v>15.19</v>
      </c>
    </row>
    <row r="101" spans="1:2" x14ac:dyDescent="0.2">
      <c r="A101" s="1">
        <v>46252</v>
      </c>
      <c r="B101">
        <v>15.84</v>
      </c>
    </row>
    <row r="102" spans="1:2" x14ac:dyDescent="0.2">
      <c r="A102" s="1">
        <v>46253</v>
      </c>
      <c r="B102">
        <v>14.89</v>
      </c>
    </row>
    <row r="103" spans="1:2" x14ac:dyDescent="0.2">
      <c r="A103" s="1">
        <v>46254</v>
      </c>
      <c r="B103">
        <v>16.010000000000002</v>
      </c>
    </row>
    <row r="104" spans="1:2" x14ac:dyDescent="0.2">
      <c r="A104" s="1">
        <v>46255</v>
      </c>
      <c r="B104">
        <v>15.13</v>
      </c>
    </row>
    <row r="105" spans="1:2" x14ac:dyDescent="0.2">
      <c r="A105" s="1">
        <v>46258</v>
      </c>
      <c r="B105">
        <v>15.85</v>
      </c>
    </row>
    <row r="106" spans="1:2" x14ac:dyDescent="0.2">
      <c r="A106" s="1">
        <v>46259</v>
      </c>
      <c r="B106">
        <v>15.45</v>
      </c>
    </row>
    <row r="107" spans="1:2" x14ac:dyDescent="0.2">
      <c r="A107" s="1">
        <v>46260</v>
      </c>
      <c r="B107">
        <v>15.21</v>
      </c>
    </row>
    <row r="108" spans="1:2" x14ac:dyDescent="0.2">
      <c r="A108" s="1">
        <v>46261</v>
      </c>
      <c r="B108">
        <v>14.51</v>
      </c>
    </row>
    <row r="109" spans="1:2" x14ac:dyDescent="0.2">
      <c r="A109" s="1">
        <v>46262</v>
      </c>
      <c r="B109">
        <v>14.43</v>
      </c>
    </row>
    <row r="110" spans="1:2" x14ac:dyDescent="0.2">
      <c r="A110" s="1">
        <v>46265</v>
      </c>
      <c r="B110">
        <v>14.92</v>
      </c>
    </row>
    <row r="111" spans="1:2" x14ac:dyDescent="0.2">
      <c r="A111" s="1">
        <v>46266</v>
      </c>
      <c r="B111">
        <v>16.34</v>
      </c>
    </row>
    <row r="112" spans="1:2" x14ac:dyDescent="0.2">
      <c r="A112" s="1">
        <v>46267</v>
      </c>
      <c r="B112">
        <v>15.2</v>
      </c>
    </row>
    <row r="113" spans="1:2" x14ac:dyDescent="0.2">
      <c r="A113" s="1">
        <v>46268</v>
      </c>
      <c r="B113">
        <v>14.32</v>
      </c>
    </row>
    <row r="114" spans="1:2" x14ac:dyDescent="0.2">
      <c r="A114" s="1">
        <v>46269</v>
      </c>
      <c r="B114">
        <v>14.53</v>
      </c>
    </row>
    <row r="115" spans="1:2" x14ac:dyDescent="0.2">
      <c r="A115" s="1">
        <v>46272</v>
      </c>
      <c r="B115">
        <v>15.3</v>
      </c>
    </row>
    <row r="116" spans="1:2" x14ac:dyDescent="0.2">
      <c r="A116" s="1">
        <v>46273</v>
      </c>
      <c r="B116">
        <v>15.72</v>
      </c>
    </row>
    <row r="117" spans="1:2" x14ac:dyDescent="0.2">
      <c r="A117" s="1">
        <v>46274</v>
      </c>
      <c r="B117">
        <v>16.46</v>
      </c>
    </row>
    <row r="118" spans="1:2" x14ac:dyDescent="0.2">
      <c r="A118" s="1">
        <v>46275</v>
      </c>
      <c r="B118">
        <v>17.84</v>
      </c>
    </row>
    <row r="119" spans="1:2" x14ac:dyDescent="0.2">
      <c r="A119" s="1">
        <v>46276</v>
      </c>
      <c r="B119">
        <v>15.84</v>
      </c>
    </row>
    <row r="120" spans="1:2" x14ac:dyDescent="0.2">
      <c r="A120" s="1">
        <v>46279</v>
      </c>
      <c r="B120">
        <v>17.100000000000001</v>
      </c>
    </row>
    <row r="121" spans="1:2" x14ac:dyDescent="0.2">
      <c r="A121" s="1">
        <v>46280</v>
      </c>
      <c r="B121">
        <v>17.2</v>
      </c>
    </row>
    <row r="122" spans="1:2" x14ac:dyDescent="0.2">
      <c r="A122" s="1">
        <v>46281</v>
      </c>
      <c r="B122">
        <v>17.71</v>
      </c>
    </row>
    <row r="123" spans="1:2" x14ac:dyDescent="0.2">
      <c r="A123" s="1">
        <v>46282</v>
      </c>
      <c r="B123">
        <v>15.44</v>
      </c>
    </row>
    <row r="124" spans="1:2" x14ac:dyDescent="0.2">
      <c r="A124" s="1">
        <v>46283</v>
      </c>
      <c r="B124">
        <v>14.81</v>
      </c>
    </row>
    <row r="125" spans="1:2" x14ac:dyDescent="0.2">
      <c r="A125" s="1">
        <v>46286</v>
      </c>
      <c r="B125">
        <v>14.87</v>
      </c>
    </row>
    <row r="126" spans="1:2" x14ac:dyDescent="0.2">
      <c r="A126" s="1">
        <v>46287</v>
      </c>
      <c r="B126">
        <v>14.21</v>
      </c>
    </row>
    <row r="127" spans="1:2" x14ac:dyDescent="0.2">
      <c r="A127" s="1">
        <v>46288</v>
      </c>
      <c r="B127">
        <v>15.18</v>
      </c>
    </row>
    <row r="128" spans="1:2" x14ac:dyDescent="0.2">
      <c r="A128" s="1">
        <v>46289</v>
      </c>
      <c r="B128">
        <v>15.67</v>
      </c>
    </row>
    <row r="129" spans="1:2" x14ac:dyDescent="0.2">
      <c r="A129" s="1">
        <v>46290</v>
      </c>
      <c r="B129">
        <v>14.87</v>
      </c>
    </row>
    <row r="130" spans="1:2" x14ac:dyDescent="0.2">
      <c r="A130" s="1">
        <v>46293</v>
      </c>
      <c r="B130">
        <v>16.07</v>
      </c>
    </row>
    <row r="131" spans="1:2" x14ac:dyDescent="0.2">
      <c r="A131" s="1">
        <v>46294</v>
      </c>
      <c r="B131">
        <v>16.04</v>
      </c>
    </row>
    <row r="132" spans="1:2" x14ac:dyDescent="0.2">
      <c r="A132" s="1">
        <v>46295</v>
      </c>
      <c r="B132">
        <v>16.34</v>
      </c>
    </row>
    <row r="133" spans="1:2" x14ac:dyDescent="0.2">
      <c r="A133" s="1">
        <v>46296</v>
      </c>
      <c r="B133">
        <v>16.39</v>
      </c>
    </row>
    <row r="134" spans="1:2" x14ac:dyDescent="0.2">
      <c r="A134" s="1">
        <v>46297</v>
      </c>
      <c r="B134">
        <v>15.31</v>
      </c>
    </row>
    <row r="135" spans="1:2" x14ac:dyDescent="0.2">
      <c r="A135" s="1">
        <v>46300</v>
      </c>
      <c r="B135">
        <v>15.52</v>
      </c>
    </row>
    <row r="136" spans="1:2" x14ac:dyDescent="0.2">
      <c r="A136" s="1">
        <v>46301</v>
      </c>
      <c r="B136">
        <v>15.01</v>
      </c>
    </row>
    <row r="137" spans="1:2" x14ac:dyDescent="0.2">
      <c r="A137" s="1">
        <v>46302</v>
      </c>
      <c r="B137">
        <v>15.08</v>
      </c>
    </row>
    <row r="138" spans="1:2" x14ac:dyDescent="0.2">
      <c r="A138" s="1">
        <v>46303</v>
      </c>
      <c r="B138">
        <v>15.41</v>
      </c>
    </row>
    <row r="139" spans="1:2" x14ac:dyDescent="0.2">
      <c r="A139" s="1">
        <v>46304</v>
      </c>
      <c r="B139">
        <v>14.84</v>
      </c>
    </row>
    <row r="140" spans="1:2" x14ac:dyDescent="0.2">
      <c r="A140" s="1">
        <v>46307</v>
      </c>
      <c r="B140">
        <v>15.21</v>
      </c>
    </row>
    <row r="141" spans="1:2" x14ac:dyDescent="0.2">
      <c r="A141" s="1">
        <v>46308</v>
      </c>
      <c r="B141">
        <v>15.27</v>
      </c>
    </row>
    <row r="142" spans="1:2" x14ac:dyDescent="0.2">
      <c r="A142" s="1">
        <v>46309</v>
      </c>
      <c r="B142">
        <v>16.87</v>
      </c>
    </row>
    <row r="143" spans="1:2" x14ac:dyDescent="0.2">
      <c r="A143" s="1">
        <v>46310</v>
      </c>
      <c r="B143">
        <v>16.46</v>
      </c>
    </row>
    <row r="144" spans="1:2" x14ac:dyDescent="0.2">
      <c r="A144" s="1">
        <v>46311</v>
      </c>
      <c r="B144">
        <v>19.989999999999998</v>
      </c>
    </row>
    <row r="145" spans="1:2" x14ac:dyDescent="0.2">
      <c r="A145" s="1">
        <v>46314</v>
      </c>
      <c r="B145">
        <v>18.440000000000001</v>
      </c>
    </row>
    <row r="146" spans="1:2" x14ac:dyDescent="0.2">
      <c r="A146" s="1">
        <v>46315</v>
      </c>
      <c r="B146">
        <v>17.309999999999999</v>
      </c>
    </row>
    <row r="147" spans="1:2" x14ac:dyDescent="0.2">
      <c r="A147" s="1">
        <v>46316</v>
      </c>
      <c r="B147">
        <v>16.68</v>
      </c>
    </row>
    <row r="148" spans="1:2" x14ac:dyDescent="0.2">
      <c r="A148" s="1">
        <v>46317</v>
      </c>
      <c r="B148">
        <v>19.03</v>
      </c>
    </row>
    <row r="149" spans="1:2" x14ac:dyDescent="0.2">
      <c r="A149" s="1">
        <v>46318</v>
      </c>
      <c r="B149">
        <v>19.45</v>
      </c>
    </row>
    <row r="150" spans="1:2" x14ac:dyDescent="0.2">
      <c r="A150" s="1">
        <v>46321</v>
      </c>
      <c r="B150">
        <v>18.39</v>
      </c>
    </row>
    <row r="151" spans="1:2" x14ac:dyDescent="0.2">
      <c r="A151" s="1">
        <v>46322</v>
      </c>
      <c r="B151">
        <v>17.52</v>
      </c>
    </row>
    <row r="152" spans="1:2" x14ac:dyDescent="0.2">
      <c r="A152" s="1">
        <v>46323</v>
      </c>
      <c r="B152">
        <v>16.91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ASX_clean</vt:lpstr>
      <vt:lpstr>ASX_Raw</vt:lpstr>
      <vt:lpstr>VIX_clean</vt:lpstr>
      <vt:lpstr>VIX_Raw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Mrinmoy Saha</cp:lastModifiedBy>
  <dcterms:created xsi:type="dcterms:W3CDTF">2026-10-30T06:08:41Z</dcterms:created>
  <dcterms:modified xsi:type="dcterms:W3CDTF">2026-10-31T00:35:54Z</dcterms:modified>
</cp:coreProperties>
</file>